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wn\Desktop\MyGame\UnmovedMoverME_TLD\Assets\StreamingAssets\Value\"/>
    </mc:Choice>
  </mc:AlternateContent>
  <xr:revisionPtr revIDLastSave="0" documentId="13_ncr:1_{FA07FA26-771D-4C88-8363-C2CA799E4A17}" xr6:coauthVersionLast="47" xr6:coauthVersionMax="47" xr10:uidLastSave="{00000000-0000-0000-0000-000000000000}"/>
  <bookViews>
    <workbookView xWindow="3408" yWindow="1248" windowWidth="23040" windowHeight="13680" xr2:uid="{00000000-000D-0000-FFFF-FFFF00000000}"/>
  </bookViews>
  <sheets>
    <sheet name="Important Character" sheetId="1" r:id="rId1"/>
    <sheet name="Normal" sheetId="2" r:id="rId2"/>
    <sheet name="Mon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A51" i="1"/>
  <c r="B4" i="1"/>
  <c r="B5" i="1"/>
  <c r="B6" i="1"/>
  <c r="B7" i="1"/>
  <c r="B8" i="1"/>
  <c r="B9" i="1"/>
  <c r="B10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3" i="1"/>
  <c r="A49" i="1"/>
  <c r="A48" i="1"/>
  <c r="A45" i="1"/>
  <c r="A46" i="1"/>
  <c r="A47" i="1"/>
  <c r="A44" i="1"/>
  <c r="A39" i="1"/>
  <c r="A40" i="1"/>
  <c r="A41" i="1"/>
  <c r="A42" i="1"/>
  <c r="A43" i="1"/>
  <c r="A38" i="1"/>
  <c r="A37" i="1"/>
  <c r="A36" i="1"/>
  <c r="A35" i="1"/>
  <c r="A34" i="1"/>
  <c r="A33" i="1"/>
  <c r="A32" i="1"/>
  <c r="A31" i="1"/>
  <c r="A30" i="1"/>
  <c r="A23" i="1"/>
  <c r="A24" i="1"/>
  <c r="A25" i="1"/>
  <c r="A26" i="1"/>
  <c r="A27" i="1"/>
  <c r="A28" i="1"/>
  <c r="A29" i="1"/>
  <c r="AM3" i="1"/>
  <c r="AM11" i="1"/>
  <c r="B11" i="1" s="1"/>
  <c r="AM12" i="1"/>
  <c r="B12" i="1" s="1"/>
  <c r="AM13" i="1"/>
  <c r="B13" i="1" s="1"/>
  <c r="AM14" i="1"/>
  <c r="B14" i="1" s="1"/>
  <c r="AM15" i="1"/>
  <c r="B15" i="1" s="1"/>
  <c r="AM16" i="1"/>
  <c r="B16" i="1" s="1"/>
  <c r="AM17" i="1"/>
  <c r="B17" i="1" s="1"/>
  <c r="AM18" i="1"/>
  <c r="B18" i="1" s="1"/>
  <c r="AM19" i="1"/>
  <c r="B19" i="1" s="1"/>
  <c r="AM20" i="1"/>
  <c r="B20" i="1" s="1"/>
  <c r="AM21" i="1"/>
  <c r="B21" i="1" s="1"/>
  <c r="A4" i="1"/>
  <c r="A3" i="3"/>
  <c r="A4" i="3"/>
  <c r="A5" i="3"/>
  <c r="A6" i="3"/>
  <c r="A2" i="3"/>
  <c r="A3" i="2"/>
  <c r="A2" i="2"/>
  <c r="A5" i="1"/>
  <c r="A6" i="1"/>
  <c r="A7" i="1"/>
  <c r="A8" i="1"/>
  <c r="A9" i="1"/>
  <c r="A10" i="1"/>
  <c r="A11" i="1"/>
  <c r="A12" i="1"/>
  <c r="A13" i="1"/>
  <c r="A3" i="1"/>
  <c r="A14" i="1"/>
  <c r="A15" i="1"/>
  <c r="A16" i="1"/>
  <c r="A17" i="1"/>
  <c r="A18" i="1"/>
  <c r="A19" i="1"/>
  <c r="A20" i="1"/>
  <c r="A21" i="1"/>
  <c r="A22" i="1"/>
  <c r="A2" i="1"/>
</calcChain>
</file>

<file path=xl/sharedStrings.xml><?xml version="1.0" encoding="utf-8"?>
<sst xmlns="http://schemas.openxmlformats.org/spreadsheetml/2006/main" count="558" uniqueCount="169">
  <si>
    <t>ID</t>
  </si>
  <si>
    <t>CharacterType</t>
  </si>
  <si>
    <t>Country</t>
  </si>
  <si>
    <t>Role Class</t>
  </si>
  <si>
    <t>Max Force</t>
  </si>
  <si>
    <t>Force</t>
  </si>
  <si>
    <t>Favorability Level</t>
  </si>
  <si>
    <t>Favorability</t>
  </si>
  <si>
    <t>Item</t>
  </si>
  <si>
    <t>Capture Probalilty</t>
  </si>
  <si>
    <t>Recruit Cost</t>
  </si>
  <si>
    <t>Move Num</t>
  </si>
  <si>
    <t>Player</t>
  </si>
  <si>
    <t>null</t>
  </si>
  <si>
    <t>Skill1</t>
  </si>
  <si>
    <t>Skill2</t>
  </si>
  <si>
    <t>Skill3</t>
  </si>
  <si>
    <t>Skill4</t>
  </si>
  <si>
    <t>Skill5</t>
  </si>
  <si>
    <t>name(en)</t>
  </si>
  <si>
    <t>name(zh-Hans)</t>
  </si>
  <si>
    <t>name(zh-Hant)</t>
  </si>
  <si>
    <t>name(ja)</t>
  </si>
  <si>
    <t>Assault</t>
  </si>
  <si>
    <t>Attack Buff</t>
  </si>
  <si>
    <t>Bow Attack</t>
  </si>
  <si>
    <t>Richard</t>
  </si>
  <si>
    <t>Kingdom of Francus</t>
  </si>
  <si>
    <t>Ivan</t>
  </si>
  <si>
    <t>Anna</t>
  </si>
  <si>
    <t>Roland</t>
  </si>
  <si>
    <t>Constantine</t>
  </si>
  <si>
    <t>Eleanor</t>
  </si>
  <si>
    <t>Jacques</t>
  </si>
  <si>
    <t>Dido</t>
  </si>
  <si>
    <t>Louis</t>
  </si>
  <si>
    <t>Messia</t>
  </si>
  <si>
    <t>Alexei</t>
  </si>
  <si>
    <t>Rus Principality</t>
  </si>
  <si>
    <t>Maria</t>
  </si>
  <si>
    <t>Capture</t>
  </si>
  <si>
    <t>Attack Value</t>
  </si>
  <si>
    <t>Defense Value</t>
  </si>
  <si>
    <t>Magic Value</t>
  </si>
  <si>
    <t>Speed Value</t>
  </si>
  <si>
    <t>Lucky Value</t>
  </si>
  <si>
    <t>Food P</t>
  </si>
  <si>
    <t>Science P</t>
  </si>
  <si>
    <t>Politics P</t>
  </si>
  <si>
    <t>Gold P</t>
  </si>
  <si>
    <t>Faith</t>
  </si>
  <si>
    <t>Leadership</t>
  </si>
  <si>
    <t>Scout</t>
  </si>
  <si>
    <t>Build</t>
  </si>
  <si>
    <t>Negotiation</t>
  </si>
  <si>
    <t>Charm</t>
  </si>
  <si>
    <t>Brandenburg</t>
  </si>
  <si>
    <t>Saxony</t>
  </si>
  <si>
    <t>Cologne</t>
  </si>
  <si>
    <t>Trier</t>
  </si>
  <si>
    <t>Bohemia</t>
  </si>
  <si>
    <t>Mainz</t>
  </si>
  <si>
    <t>RusSoldier/RusSoldierHair</t>
  </si>
  <si>
    <t>RusSoldierHair</t>
  </si>
  <si>
    <t>GoldHairBall</t>
  </si>
  <si>
    <t>Monster</t>
  </si>
  <si>
    <t>Gold Hair Ball</t>
  </si>
  <si>
    <t>HairBall</t>
  </si>
  <si>
    <t>Hair Ball</t>
  </si>
  <si>
    <t>Hataya</t>
  </si>
  <si>
    <t>Pikachu</t>
  </si>
  <si>
    <t>Skeleton</t>
  </si>
  <si>
    <t>Hanna</t>
  </si>
  <si>
    <t>Jane</t>
  </si>
  <si>
    <t>Emilia</t>
  </si>
  <si>
    <t>爱米丽娅</t>
  </si>
  <si>
    <t>愛米麗婭</t>
  </si>
  <si>
    <t>エミリア</t>
  </si>
  <si>
    <t>勃兰登堡</t>
  </si>
  <si>
    <t>勃蘭登堡</t>
  </si>
  <si>
    <t>ブランデンブルク</t>
  </si>
  <si>
    <t>萨克森</t>
  </si>
  <si>
    <t>薩克森</t>
  </si>
  <si>
    <t>ザクセン</t>
  </si>
  <si>
    <t>科隆</t>
  </si>
  <si>
    <t>ケルン</t>
  </si>
  <si>
    <t>特里尔</t>
  </si>
  <si>
    <t>特里爾</t>
  </si>
  <si>
    <t>トリーア</t>
  </si>
  <si>
    <t>波西米亚</t>
  </si>
  <si>
    <t>波希米亞</t>
  </si>
  <si>
    <t>ボヘミア</t>
  </si>
  <si>
    <t>美因茨</t>
  </si>
  <si>
    <t>マインツ</t>
  </si>
  <si>
    <t>普法尔茨</t>
  </si>
  <si>
    <t>普法爾茨</t>
  </si>
  <si>
    <t>プファルツ</t>
  </si>
  <si>
    <t>理查</t>
  </si>
  <si>
    <t>リチャード</t>
  </si>
  <si>
    <t>伊凡</t>
  </si>
  <si>
    <t>イワン</t>
  </si>
  <si>
    <t>安娜</t>
  </si>
  <si>
    <t>アンナ</t>
  </si>
  <si>
    <t>罗兰</t>
  </si>
  <si>
    <t>羅蘭</t>
  </si>
  <si>
    <t>ローラン</t>
  </si>
  <si>
    <t>君士坦丁</t>
  </si>
  <si>
    <t>コンスタンティヌス</t>
  </si>
  <si>
    <t>简</t>
  </si>
  <si>
    <t>簡</t>
  </si>
  <si>
    <t>ジェーン</t>
  </si>
  <si>
    <t>雅克</t>
  </si>
  <si>
    <t>ジャック</t>
  </si>
  <si>
    <t>狄多</t>
  </si>
  <si>
    <t>ディドー</t>
  </si>
  <si>
    <t>路易</t>
  </si>
  <si>
    <t>ルイ</t>
  </si>
  <si>
    <t>玛丽亚</t>
  </si>
  <si>
    <t>瑪麗亞</t>
  </si>
  <si>
    <t>マリア</t>
  </si>
  <si>
    <t>默西亚</t>
  </si>
  <si>
    <t>默西亞</t>
  </si>
  <si>
    <t>メシア</t>
  </si>
  <si>
    <t>阿列克谢</t>
  </si>
  <si>
    <t>阿列克謝</t>
  </si>
  <si>
    <t>アレクセイ</t>
  </si>
  <si>
    <t>汉娜</t>
  </si>
  <si>
    <t>漢娜</t>
  </si>
  <si>
    <t>ハンナ</t>
  </si>
  <si>
    <t>Guinevere</t>
  </si>
  <si>
    <t>Abaddon</t>
  </si>
  <si>
    <t>Friederike</t>
  </si>
  <si>
    <t>LiYa</t>
  </si>
  <si>
    <t>Hohenzollern</t>
  </si>
  <si>
    <t>Joan</t>
  </si>
  <si>
    <t>Burgundy</t>
  </si>
  <si>
    <t>Antonia</t>
  </si>
  <si>
    <t>Holy Romulus Empire</t>
  </si>
  <si>
    <t>Bettisia</t>
  </si>
  <si>
    <t>Satan</t>
  </si>
  <si>
    <t>Lancelot</t>
  </si>
  <si>
    <t>Is PersonBattle</t>
  </si>
  <si>
    <t>Can Delete</t>
  </si>
  <si>
    <t>Max Level</t>
  </si>
  <si>
    <t>Current Level</t>
  </si>
  <si>
    <t>Jeanne </t>
  </si>
  <si>
    <t>JeanneOfArc</t>
  </si>
  <si>
    <t>Hiyori</t>
  </si>
  <si>
    <t>Palatinate</t>
  </si>
  <si>
    <t>Jadwiga</t>
  </si>
  <si>
    <t>Margaret</t>
  </si>
  <si>
    <t>Alexei_Good</t>
  </si>
  <si>
    <t>Antonia_Mask</t>
  </si>
  <si>
    <t>Ottoman</t>
  </si>
  <si>
    <t>Lilith</t>
  </si>
  <si>
    <t>Init SkillLibrary IDs</t>
  </si>
  <si>
    <t>RAND</t>
  </si>
  <si>
    <t>CharacterKey</t>
  </si>
  <si>
    <t>Tonia</t>
  </si>
  <si>
    <t>Ximena</t>
  </si>
  <si>
    <t>Dunya</t>
  </si>
  <si>
    <t>Sonia</t>
  </si>
  <si>
    <t>Viola</t>
  </si>
  <si>
    <t>Himmelblau</t>
  </si>
  <si>
    <t>Roselle</t>
  </si>
  <si>
    <t>Jeanne</t>
  </si>
  <si>
    <t>Schwartz</t>
  </si>
  <si>
    <t>Hasan</t>
  </si>
  <si>
    <t>Gruna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</si>
</sst>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1"/>
  <sheetViews>
    <sheetView tabSelected="1" topLeftCell="A47" zoomScale="98" zoomScaleNormal="70" workbookViewId="0">
      <selection activeCell="A50" sqref="A50:XFD50"/>
    </sheetView>
  </sheetViews>
  <sheetFormatPr defaultRowHeight="14.4" x14ac:dyDescent="0.3"/>
  <cols>
    <col min="1" max="2" width="15.21875" customWidth="1"/>
    <col min="3" max="3" width="17.44140625" customWidth="1"/>
  </cols>
  <sheetData>
    <row r="1" spans="1:42" x14ac:dyDescent="0.3">
      <c r="A1" t="s">
        <v>0</v>
      </c>
      <c r="B1" t="s">
        <v>157</v>
      </c>
      <c r="C1" t="s">
        <v>1</v>
      </c>
      <c r="D1" t="s">
        <v>2</v>
      </c>
      <c r="E1" t="s">
        <v>3</v>
      </c>
      <c r="F1" t="s">
        <v>141</v>
      </c>
      <c r="G1" t="s">
        <v>142</v>
      </c>
      <c r="H1" t="s">
        <v>143</v>
      </c>
      <c r="I1" t="s">
        <v>144</v>
      </c>
      <c r="J1" t="s">
        <v>8</v>
      </c>
      <c r="K1" t="s">
        <v>11</v>
      </c>
      <c r="L1" t="s">
        <v>4</v>
      </c>
      <c r="M1" t="s">
        <v>5</v>
      </c>
      <c r="N1" t="s">
        <v>6</v>
      </c>
      <c r="O1" t="s">
        <v>7</v>
      </c>
      <c r="P1" t="s">
        <v>9</v>
      </c>
      <c r="Q1" t="s">
        <v>10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155</v>
      </c>
      <c r="AM1" t="s">
        <v>19</v>
      </c>
      <c r="AN1" t="s">
        <v>20</v>
      </c>
      <c r="AO1" t="s">
        <v>21</v>
      </c>
      <c r="AP1" t="s">
        <v>22</v>
      </c>
    </row>
    <row r="2" spans="1:42" x14ac:dyDescent="0.3">
      <c r="A2">
        <f>ROW()-2</f>
        <v>0</v>
      </c>
      <c r="B2" t="s">
        <v>12</v>
      </c>
      <c r="C2" t="s">
        <v>12</v>
      </c>
      <c r="D2" t="s">
        <v>135</v>
      </c>
      <c r="E2">
        <v>9</v>
      </c>
      <c r="F2">
        <v>0</v>
      </c>
      <c r="G2">
        <v>0</v>
      </c>
      <c r="H2">
        <v>0</v>
      </c>
      <c r="I2">
        <v>10</v>
      </c>
      <c r="J2" t="s">
        <v>13</v>
      </c>
      <c r="K2">
        <v>300</v>
      </c>
      <c r="L2">
        <v>100</v>
      </c>
      <c r="M2">
        <v>100</v>
      </c>
      <c r="N2">
        <v>100</v>
      </c>
      <c r="O2">
        <v>0</v>
      </c>
      <c r="P2">
        <v>0</v>
      </c>
      <c r="Q2">
        <v>0</v>
      </c>
      <c r="R2">
        <v>5</v>
      </c>
      <c r="S2">
        <v>5</v>
      </c>
      <c r="T2">
        <v>5</v>
      </c>
      <c r="U2">
        <v>9999</v>
      </c>
      <c r="V2">
        <v>100</v>
      </c>
      <c r="W2">
        <v>5</v>
      </c>
      <c r="X2">
        <v>5</v>
      </c>
      <c r="Y2">
        <v>5</v>
      </c>
      <c r="Z2">
        <v>5</v>
      </c>
      <c r="AA2">
        <v>5</v>
      </c>
      <c r="AB2">
        <v>99</v>
      </c>
      <c r="AC2">
        <v>6</v>
      </c>
      <c r="AD2">
        <v>5</v>
      </c>
      <c r="AE2">
        <v>5</v>
      </c>
      <c r="AF2">
        <v>99</v>
      </c>
      <c r="AG2">
        <v>114</v>
      </c>
      <c r="AH2">
        <v>75</v>
      </c>
      <c r="AI2">
        <v>78</v>
      </c>
      <c r="AJ2">
        <v>108</v>
      </c>
      <c r="AK2">
        <v>110</v>
      </c>
      <c r="AM2" t="s">
        <v>13</v>
      </c>
      <c r="AN2" t="s">
        <v>13</v>
      </c>
      <c r="AO2" t="s">
        <v>13</v>
      </c>
      <c r="AP2" t="s">
        <v>13</v>
      </c>
    </row>
    <row r="3" spans="1:42" x14ac:dyDescent="0.3">
      <c r="A3">
        <f t="shared" ref="A3:A51" si="0">ROW()-2</f>
        <v>1</v>
      </c>
      <c r="B3" t="str">
        <f>AM3</f>
        <v>Emilia</v>
      </c>
      <c r="C3" t="s">
        <v>74</v>
      </c>
      <c r="D3" t="s">
        <v>137</v>
      </c>
      <c r="E3">
        <v>3</v>
      </c>
      <c r="F3">
        <v>0</v>
      </c>
      <c r="G3">
        <v>0</v>
      </c>
      <c r="H3">
        <v>30</v>
      </c>
      <c r="I3">
        <v>10</v>
      </c>
      <c r="J3" t="s">
        <v>13</v>
      </c>
      <c r="K3">
        <v>4</v>
      </c>
      <c r="L3">
        <v>100</v>
      </c>
      <c r="M3">
        <v>100</v>
      </c>
      <c r="N3">
        <v>0</v>
      </c>
      <c r="O3">
        <v>2</v>
      </c>
      <c r="P3">
        <v>0</v>
      </c>
      <c r="Q3">
        <v>10</v>
      </c>
      <c r="R3">
        <v>6</v>
      </c>
      <c r="S3">
        <v>5</v>
      </c>
      <c r="T3">
        <v>8</v>
      </c>
      <c r="U3">
        <v>99</v>
      </c>
      <c r="V3">
        <v>150</v>
      </c>
      <c r="W3">
        <v>4</v>
      </c>
      <c r="X3">
        <v>4</v>
      </c>
      <c r="Y3">
        <v>4</v>
      </c>
      <c r="Z3">
        <v>4</v>
      </c>
      <c r="AA3">
        <v>4</v>
      </c>
      <c r="AB3">
        <v>99</v>
      </c>
      <c r="AC3">
        <v>7</v>
      </c>
      <c r="AD3">
        <v>4</v>
      </c>
      <c r="AE3">
        <v>4</v>
      </c>
      <c r="AF3">
        <v>99</v>
      </c>
      <c r="AG3">
        <v>76</v>
      </c>
      <c r="AH3">
        <v>77</v>
      </c>
      <c r="AI3">
        <v>78</v>
      </c>
      <c r="AJ3">
        <v>79</v>
      </c>
      <c r="AK3">
        <v>75</v>
      </c>
      <c r="AM3" t="str">
        <f>C3</f>
        <v>Emilia</v>
      </c>
      <c r="AN3" t="s">
        <v>75</v>
      </c>
      <c r="AO3" t="s">
        <v>76</v>
      </c>
      <c r="AP3" t="s">
        <v>77</v>
      </c>
    </row>
    <row r="4" spans="1:42" x14ac:dyDescent="0.3">
      <c r="A4">
        <f t="shared" ref="A4:A11" si="1">ROW()-2</f>
        <v>2</v>
      </c>
      <c r="B4" t="str">
        <f t="shared" ref="B4:B49" si="2">AM4</f>
        <v>Brandenburg</v>
      </c>
      <c r="C4" t="s">
        <v>56</v>
      </c>
      <c r="D4" t="s">
        <v>27</v>
      </c>
      <c r="E4">
        <v>3</v>
      </c>
      <c r="F4">
        <v>0</v>
      </c>
      <c r="G4">
        <v>0</v>
      </c>
      <c r="H4">
        <v>30</v>
      </c>
      <c r="I4">
        <v>10</v>
      </c>
      <c r="J4" t="s">
        <v>13</v>
      </c>
      <c r="K4">
        <v>3</v>
      </c>
      <c r="L4">
        <v>100</v>
      </c>
      <c r="M4">
        <v>100</v>
      </c>
      <c r="N4">
        <v>100</v>
      </c>
      <c r="O4">
        <v>1</v>
      </c>
      <c r="P4">
        <v>0</v>
      </c>
      <c r="Q4">
        <v>151</v>
      </c>
      <c r="R4">
        <v>5</v>
      </c>
      <c r="S4">
        <v>5</v>
      </c>
      <c r="T4">
        <v>5</v>
      </c>
      <c r="U4">
        <v>5</v>
      </c>
      <c r="V4">
        <v>100</v>
      </c>
      <c r="W4">
        <v>5</v>
      </c>
      <c r="X4">
        <v>5</v>
      </c>
      <c r="Y4">
        <v>5</v>
      </c>
      <c r="Z4">
        <v>5</v>
      </c>
      <c r="AA4">
        <v>5</v>
      </c>
      <c r="AB4">
        <v>99</v>
      </c>
      <c r="AC4">
        <v>8</v>
      </c>
      <c r="AD4">
        <v>5</v>
      </c>
      <c r="AE4">
        <v>5</v>
      </c>
      <c r="AF4">
        <v>99</v>
      </c>
      <c r="AG4">
        <v>76</v>
      </c>
      <c r="AH4">
        <v>77</v>
      </c>
      <c r="AI4">
        <v>78</v>
      </c>
      <c r="AJ4">
        <v>79</v>
      </c>
      <c r="AK4">
        <v>75</v>
      </c>
      <c r="AM4" t="s">
        <v>56</v>
      </c>
      <c r="AN4" t="s">
        <v>78</v>
      </c>
      <c r="AO4" t="s">
        <v>79</v>
      </c>
      <c r="AP4" t="s">
        <v>80</v>
      </c>
    </row>
    <row r="5" spans="1:42" x14ac:dyDescent="0.3">
      <c r="A5">
        <f t="shared" si="1"/>
        <v>3</v>
      </c>
      <c r="B5" t="str">
        <f t="shared" si="2"/>
        <v>Saxony</v>
      </c>
      <c r="C5" t="s">
        <v>57</v>
      </c>
      <c r="D5" t="s">
        <v>27</v>
      </c>
      <c r="E5">
        <v>3</v>
      </c>
      <c r="F5">
        <v>0</v>
      </c>
      <c r="G5">
        <v>0</v>
      </c>
      <c r="H5">
        <v>30</v>
      </c>
      <c r="I5">
        <v>10</v>
      </c>
      <c r="J5" t="s">
        <v>13</v>
      </c>
      <c r="K5">
        <v>3</v>
      </c>
      <c r="L5">
        <v>100</v>
      </c>
      <c r="M5">
        <v>100</v>
      </c>
      <c r="N5">
        <v>100</v>
      </c>
      <c r="O5">
        <v>1</v>
      </c>
      <c r="P5">
        <v>0</v>
      </c>
      <c r="Q5">
        <v>161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99</v>
      </c>
      <c r="AC5">
        <v>9</v>
      </c>
      <c r="AD5">
        <v>5</v>
      </c>
      <c r="AE5">
        <v>5</v>
      </c>
      <c r="AF5">
        <v>99</v>
      </c>
      <c r="AG5">
        <v>76</v>
      </c>
      <c r="AH5">
        <v>77</v>
      </c>
      <c r="AI5">
        <v>78</v>
      </c>
      <c r="AJ5">
        <v>79</v>
      </c>
      <c r="AK5">
        <v>75</v>
      </c>
      <c r="AM5" t="s">
        <v>57</v>
      </c>
      <c r="AN5" t="s">
        <v>81</v>
      </c>
      <c r="AO5" t="s">
        <v>82</v>
      </c>
      <c r="AP5" t="s">
        <v>83</v>
      </c>
    </row>
    <row r="6" spans="1:42" x14ac:dyDescent="0.3">
      <c r="A6">
        <f t="shared" si="1"/>
        <v>4</v>
      </c>
      <c r="B6" t="str">
        <f t="shared" si="2"/>
        <v>Cologne</v>
      </c>
      <c r="C6" t="s">
        <v>58</v>
      </c>
      <c r="D6" t="s">
        <v>27</v>
      </c>
      <c r="E6">
        <v>3</v>
      </c>
      <c r="F6">
        <v>0</v>
      </c>
      <c r="G6">
        <v>0</v>
      </c>
      <c r="H6">
        <v>30</v>
      </c>
      <c r="I6">
        <v>10</v>
      </c>
      <c r="J6" t="s">
        <v>13</v>
      </c>
      <c r="K6">
        <v>3</v>
      </c>
      <c r="L6">
        <v>100</v>
      </c>
      <c r="M6">
        <v>100</v>
      </c>
      <c r="N6">
        <v>100</v>
      </c>
      <c r="O6">
        <v>1</v>
      </c>
      <c r="P6">
        <v>0</v>
      </c>
      <c r="Q6">
        <v>171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99</v>
      </c>
      <c r="AC6">
        <v>10</v>
      </c>
      <c r="AD6">
        <v>5</v>
      </c>
      <c r="AE6">
        <v>5</v>
      </c>
      <c r="AF6">
        <v>99</v>
      </c>
      <c r="AG6">
        <v>76</v>
      </c>
      <c r="AH6">
        <v>77</v>
      </c>
      <c r="AI6">
        <v>78</v>
      </c>
      <c r="AJ6">
        <v>79</v>
      </c>
      <c r="AK6">
        <v>75</v>
      </c>
      <c r="AM6" t="s">
        <v>58</v>
      </c>
      <c r="AN6" t="s">
        <v>84</v>
      </c>
      <c r="AO6" t="s">
        <v>84</v>
      </c>
      <c r="AP6" t="s">
        <v>85</v>
      </c>
    </row>
    <row r="7" spans="1:42" x14ac:dyDescent="0.3">
      <c r="A7">
        <f t="shared" si="1"/>
        <v>5</v>
      </c>
      <c r="B7" t="str">
        <f t="shared" si="2"/>
        <v>Trier</v>
      </c>
      <c r="C7" t="s">
        <v>59</v>
      </c>
      <c r="D7" t="s">
        <v>27</v>
      </c>
      <c r="E7">
        <v>3</v>
      </c>
      <c r="F7">
        <v>0</v>
      </c>
      <c r="G7">
        <v>0</v>
      </c>
      <c r="H7">
        <v>30</v>
      </c>
      <c r="I7">
        <v>10</v>
      </c>
      <c r="J7" t="s">
        <v>13</v>
      </c>
      <c r="K7">
        <v>3</v>
      </c>
      <c r="L7">
        <v>100</v>
      </c>
      <c r="M7">
        <v>100</v>
      </c>
      <c r="N7">
        <v>100</v>
      </c>
      <c r="O7">
        <v>1</v>
      </c>
      <c r="P7">
        <v>0</v>
      </c>
      <c r="Q7">
        <v>181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99</v>
      </c>
      <c r="AC7">
        <v>11</v>
      </c>
      <c r="AD7">
        <v>5</v>
      </c>
      <c r="AE7">
        <v>5</v>
      </c>
      <c r="AF7">
        <v>99</v>
      </c>
      <c r="AG7">
        <v>76</v>
      </c>
      <c r="AH7">
        <v>77</v>
      </c>
      <c r="AI7">
        <v>78</v>
      </c>
      <c r="AJ7">
        <v>79</v>
      </c>
      <c r="AK7">
        <v>75</v>
      </c>
      <c r="AM7" t="s">
        <v>59</v>
      </c>
      <c r="AN7" t="s">
        <v>86</v>
      </c>
      <c r="AO7" t="s">
        <v>87</v>
      </c>
      <c r="AP7" t="s">
        <v>88</v>
      </c>
    </row>
    <row r="8" spans="1:42" x14ac:dyDescent="0.3">
      <c r="A8">
        <f t="shared" si="1"/>
        <v>6</v>
      </c>
      <c r="B8" t="str">
        <f t="shared" si="2"/>
        <v>Bohemia</v>
      </c>
      <c r="C8" t="s">
        <v>60</v>
      </c>
      <c r="D8" t="s">
        <v>27</v>
      </c>
      <c r="E8">
        <v>3</v>
      </c>
      <c r="F8">
        <v>0</v>
      </c>
      <c r="G8">
        <v>0</v>
      </c>
      <c r="H8">
        <v>30</v>
      </c>
      <c r="I8">
        <v>10</v>
      </c>
      <c r="J8" t="s">
        <v>13</v>
      </c>
      <c r="K8">
        <v>3</v>
      </c>
      <c r="L8">
        <v>100</v>
      </c>
      <c r="M8">
        <v>100</v>
      </c>
      <c r="N8">
        <v>100</v>
      </c>
      <c r="O8">
        <v>1</v>
      </c>
      <c r="P8">
        <v>0</v>
      </c>
      <c r="Q8">
        <v>191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99</v>
      </c>
      <c r="AC8">
        <v>12</v>
      </c>
      <c r="AD8">
        <v>5</v>
      </c>
      <c r="AE8">
        <v>5</v>
      </c>
      <c r="AF8">
        <v>99</v>
      </c>
      <c r="AG8">
        <v>76</v>
      </c>
      <c r="AH8">
        <v>77</v>
      </c>
      <c r="AI8">
        <v>78</v>
      </c>
      <c r="AJ8">
        <v>79</v>
      </c>
      <c r="AK8">
        <v>75</v>
      </c>
      <c r="AM8" t="s">
        <v>60</v>
      </c>
      <c r="AN8" t="s">
        <v>89</v>
      </c>
      <c r="AO8" t="s">
        <v>90</v>
      </c>
      <c r="AP8" t="s">
        <v>91</v>
      </c>
    </row>
    <row r="9" spans="1:42" x14ac:dyDescent="0.3">
      <c r="A9">
        <f t="shared" si="1"/>
        <v>7</v>
      </c>
      <c r="B9" t="str">
        <f t="shared" si="2"/>
        <v>Mainz</v>
      </c>
      <c r="C9" t="s">
        <v>61</v>
      </c>
      <c r="D9" t="s">
        <v>27</v>
      </c>
      <c r="E9">
        <v>3</v>
      </c>
      <c r="F9">
        <v>0</v>
      </c>
      <c r="G9">
        <v>0</v>
      </c>
      <c r="H9">
        <v>30</v>
      </c>
      <c r="I9">
        <v>10</v>
      </c>
      <c r="J9" t="s">
        <v>13</v>
      </c>
      <c r="K9">
        <v>3</v>
      </c>
      <c r="L9">
        <v>100</v>
      </c>
      <c r="M9">
        <v>100</v>
      </c>
      <c r="N9">
        <v>100</v>
      </c>
      <c r="O9">
        <v>1</v>
      </c>
      <c r="P9">
        <v>0</v>
      </c>
      <c r="Q9">
        <v>201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99</v>
      </c>
      <c r="AC9">
        <v>13</v>
      </c>
      <c r="AD9">
        <v>5</v>
      </c>
      <c r="AE9">
        <v>5</v>
      </c>
      <c r="AF9">
        <v>99</v>
      </c>
      <c r="AG9">
        <v>76</v>
      </c>
      <c r="AH9">
        <v>77</v>
      </c>
      <c r="AI9">
        <v>78</v>
      </c>
      <c r="AJ9">
        <v>79</v>
      </c>
      <c r="AK9">
        <v>75</v>
      </c>
      <c r="AM9" t="s">
        <v>61</v>
      </c>
      <c r="AN9" t="s">
        <v>92</v>
      </c>
      <c r="AO9" t="s">
        <v>92</v>
      </c>
      <c r="AP9" t="s">
        <v>93</v>
      </c>
    </row>
    <row r="10" spans="1:42" x14ac:dyDescent="0.3">
      <c r="A10">
        <f t="shared" si="1"/>
        <v>8</v>
      </c>
      <c r="B10" t="str">
        <f t="shared" si="2"/>
        <v>Palatinate</v>
      </c>
      <c r="C10" t="s">
        <v>148</v>
      </c>
      <c r="D10" t="s">
        <v>27</v>
      </c>
      <c r="E10">
        <v>3</v>
      </c>
      <c r="F10">
        <v>0</v>
      </c>
      <c r="G10">
        <v>0</v>
      </c>
      <c r="H10">
        <v>30</v>
      </c>
      <c r="I10">
        <v>10</v>
      </c>
      <c r="J10" t="s">
        <v>13</v>
      </c>
      <c r="K10">
        <v>3</v>
      </c>
      <c r="L10">
        <v>100</v>
      </c>
      <c r="M10">
        <v>100</v>
      </c>
      <c r="N10">
        <v>100</v>
      </c>
      <c r="O10">
        <v>1</v>
      </c>
      <c r="P10">
        <v>0</v>
      </c>
      <c r="Q10">
        <v>211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99</v>
      </c>
      <c r="AC10">
        <v>14</v>
      </c>
      <c r="AD10">
        <v>5</v>
      </c>
      <c r="AE10">
        <v>5</v>
      </c>
      <c r="AF10">
        <v>99</v>
      </c>
      <c r="AG10">
        <v>76</v>
      </c>
      <c r="AH10">
        <v>77</v>
      </c>
      <c r="AI10">
        <v>78</v>
      </c>
      <c r="AJ10">
        <v>79</v>
      </c>
      <c r="AK10">
        <v>75</v>
      </c>
      <c r="AM10" t="s">
        <v>148</v>
      </c>
      <c r="AN10" t="s">
        <v>94</v>
      </c>
      <c r="AO10" t="s">
        <v>95</v>
      </c>
      <c r="AP10" t="s">
        <v>96</v>
      </c>
    </row>
    <row r="11" spans="1:42" x14ac:dyDescent="0.3">
      <c r="A11">
        <f t="shared" si="1"/>
        <v>9</v>
      </c>
      <c r="B11" t="str">
        <f t="shared" si="2"/>
        <v>Richard</v>
      </c>
      <c r="C11" t="s">
        <v>26</v>
      </c>
      <c r="D11" t="s">
        <v>27</v>
      </c>
      <c r="E11">
        <v>3</v>
      </c>
      <c r="F11">
        <v>0</v>
      </c>
      <c r="G11">
        <v>0</v>
      </c>
      <c r="H11">
        <v>30</v>
      </c>
      <c r="I11">
        <v>10</v>
      </c>
      <c r="J11" t="s">
        <v>13</v>
      </c>
      <c r="K11">
        <v>4</v>
      </c>
      <c r="L11">
        <v>100</v>
      </c>
      <c r="M11">
        <v>100</v>
      </c>
      <c r="N11">
        <v>0</v>
      </c>
      <c r="O11">
        <v>1</v>
      </c>
      <c r="P11">
        <v>0</v>
      </c>
      <c r="Q11">
        <v>101</v>
      </c>
      <c r="R11">
        <v>4</v>
      </c>
      <c r="S11">
        <v>4</v>
      </c>
      <c r="T11">
        <v>4</v>
      </c>
      <c r="U11">
        <v>4</v>
      </c>
      <c r="V11">
        <v>4</v>
      </c>
      <c r="W11">
        <v>5</v>
      </c>
      <c r="X11">
        <v>5</v>
      </c>
      <c r="Y11">
        <v>5</v>
      </c>
      <c r="Z11">
        <v>5</v>
      </c>
      <c r="AA11">
        <v>5</v>
      </c>
      <c r="AB11">
        <v>99</v>
      </c>
      <c r="AC11">
        <v>15</v>
      </c>
      <c r="AD11">
        <v>8</v>
      </c>
      <c r="AE11">
        <v>9</v>
      </c>
      <c r="AF11">
        <v>99</v>
      </c>
      <c r="AG11">
        <v>76</v>
      </c>
      <c r="AH11">
        <v>77</v>
      </c>
      <c r="AI11">
        <v>78</v>
      </c>
      <c r="AJ11">
        <v>79</v>
      </c>
      <c r="AK11">
        <v>75</v>
      </c>
      <c r="AM11" t="str">
        <f>C11</f>
        <v>Richard</v>
      </c>
      <c r="AN11" t="s">
        <v>97</v>
      </c>
      <c r="AO11" t="s">
        <v>97</v>
      </c>
      <c r="AP11" t="s">
        <v>98</v>
      </c>
    </row>
    <row r="12" spans="1:42" x14ac:dyDescent="0.3">
      <c r="A12">
        <f t="shared" si="0"/>
        <v>10</v>
      </c>
      <c r="B12" t="str">
        <f t="shared" si="2"/>
        <v>Ivan</v>
      </c>
      <c r="C12" t="s">
        <v>28</v>
      </c>
      <c r="D12" t="s">
        <v>38</v>
      </c>
      <c r="E12">
        <v>3</v>
      </c>
      <c r="F12">
        <v>0</v>
      </c>
      <c r="G12">
        <v>0</v>
      </c>
      <c r="H12">
        <v>30</v>
      </c>
      <c r="I12">
        <v>10</v>
      </c>
      <c r="J12" t="s">
        <v>13</v>
      </c>
      <c r="K12">
        <v>4</v>
      </c>
      <c r="L12">
        <v>100</v>
      </c>
      <c r="M12">
        <v>100</v>
      </c>
      <c r="N12">
        <v>0</v>
      </c>
      <c r="O12">
        <v>1</v>
      </c>
      <c r="P12">
        <v>0</v>
      </c>
      <c r="Q12">
        <v>101</v>
      </c>
      <c r="R12">
        <v>1</v>
      </c>
      <c r="S12">
        <v>2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99</v>
      </c>
      <c r="AC12">
        <v>16</v>
      </c>
      <c r="AD12">
        <v>3</v>
      </c>
      <c r="AE12">
        <v>3</v>
      </c>
      <c r="AF12">
        <v>99</v>
      </c>
      <c r="AG12">
        <v>76</v>
      </c>
      <c r="AH12">
        <v>77</v>
      </c>
      <c r="AI12">
        <v>78</v>
      </c>
      <c r="AJ12">
        <v>79</v>
      </c>
      <c r="AK12">
        <v>75</v>
      </c>
      <c r="AM12" t="str">
        <f t="shared" ref="AM12:AM21" si="3">C12</f>
        <v>Ivan</v>
      </c>
      <c r="AN12" t="s">
        <v>99</v>
      </c>
      <c r="AO12" t="s">
        <v>99</v>
      </c>
      <c r="AP12" t="s">
        <v>100</v>
      </c>
    </row>
    <row r="13" spans="1:42" x14ac:dyDescent="0.3">
      <c r="A13">
        <f t="shared" si="0"/>
        <v>11</v>
      </c>
      <c r="B13" t="str">
        <f t="shared" si="2"/>
        <v>Anna</v>
      </c>
      <c r="C13" t="s">
        <v>29</v>
      </c>
      <c r="D13" t="s">
        <v>135</v>
      </c>
      <c r="E13">
        <v>3</v>
      </c>
      <c r="F13">
        <v>0</v>
      </c>
      <c r="G13">
        <v>0</v>
      </c>
      <c r="H13">
        <v>30</v>
      </c>
      <c r="I13">
        <v>10</v>
      </c>
      <c r="J13" t="s">
        <v>13</v>
      </c>
      <c r="K13">
        <v>4</v>
      </c>
      <c r="L13">
        <v>100</v>
      </c>
      <c r="M13">
        <v>100</v>
      </c>
      <c r="N13">
        <v>0</v>
      </c>
      <c r="O13">
        <v>1</v>
      </c>
      <c r="P13">
        <v>0</v>
      </c>
      <c r="Q13">
        <v>101</v>
      </c>
      <c r="R13">
        <v>4</v>
      </c>
      <c r="S13">
        <v>4</v>
      </c>
      <c r="T13">
        <v>4</v>
      </c>
      <c r="U13">
        <v>99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99</v>
      </c>
      <c r="AC13">
        <v>17</v>
      </c>
      <c r="AD13">
        <v>4</v>
      </c>
      <c r="AE13">
        <v>4</v>
      </c>
      <c r="AF13">
        <v>99</v>
      </c>
      <c r="AG13">
        <v>76</v>
      </c>
      <c r="AH13">
        <v>81</v>
      </c>
      <c r="AI13">
        <v>86</v>
      </c>
      <c r="AJ13">
        <v>91</v>
      </c>
      <c r="AK13">
        <v>108</v>
      </c>
      <c r="AM13" t="str">
        <f t="shared" si="3"/>
        <v>Anna</v>
      </c>
      <c r="AN13" t="s">
        <v>101</v>
      </c>
      <c r="AO13" t="s">
        <v>101</v>
      </c>
      <c r="AP13" t="s">
        <v>102</v>
      </c>
    </row>
    <row r="14" spans="1:42" x14ac:dyDescent="0.3">
      <c r="A14">
        <f t="shared" si="0"/>
        <v>12</v>
      </c>
      <c r="B14" t="str">
        <f t="shared" si="2"/>
        <v>Roland</v>
      </c>
      <c r="C14" t="s">
        <v>30</v>
      </c>
      <c r="D14" t="s">
        <v>40</v>
      </c>
      <c r="E14">
        <v>3</v>
      </c>
      <c r="F14">
        <v>0</v>
      </c>
      <c r="G14">
        <v>0</v>
      </c>
      <c r="H14">
        <v>30</v>
      </c>
      <c r="I14">
        <v>10</v>
      </c>
      <c r="J14" t="s">
        <v>13</v>
      </c>
      <c r="K14">
        <v>4</v>
      </c>
      <c r="L14">
        <v>100</v>
      </c>
      <c r="M14">
        <v>100</v>
      </c>
      <c r="N14">
        <v>0</v>
      </c>
      <c r="O14">
        <v>1</v>
      </c>
      <c r="P14">
        <v>0</v>
      </c>
      <c r="Q14">
        <v>101</v>
      </c>
      <c r="R14">
        <v>7</v>
      </c>
      <c r="S14">
        <v>5</v>
      </c>
      <c r="T14">
        <v>7</v>
      </c>
      <c r="U14">
        <v>4</v>
      </c>
      <c r="V14">
        <v>3</v>
      </c>
      <c r="W14">
        <v>5</v>
      </c>
      <c r="X14">
        <v>7</v>
      </c>
      <c r="Y14">
        <v>8</v>
      </c>
      <c r="Z14">
        <v>9</v>
      </c>
      <c r="AA14">
        <v>5</v>
      </c>
      <c r="AB14">
        <v>99</v>
      </c>
      <c r="AC14">
        <v>18</v>
      </c>
      <c r="AD14">
        <v>5</v>
      </c>
      <c r="AE14">
        <v>3</v>
      </c>
      <c r="AF14">
        <v>99</v>
      </c>
      <c r="AG14">
        <v>76</v>
      </c>
      <c r="AH14">
        <v>77</v>
      </c>
      <c r="AI14">
        <v>78</v>
      </c>
      <c r="AJ14">
        <v>79</v>
      </c>
      <c r="AK14">
        <v>75</v>
      </c>
      <c r="AM14" t="str">
        <f t="shared" si="3"/>
        <v>Roland</v>
      </c>
      <c r="AN14" t="s">
        <v>103</v>
      </c>
      <c r="AO14" t="s">
        <v>104</v>
      </c>
      <c r="AP14" t="s">
        <v>105</v>
      </c>
    </row>
    <row r="15" spans="1:42" x14ac:dyDescent="0.3">
      <c r="A15">
        <f t="shared" si="0"/>
        <v>13</v>
      </c>
      <c r="B15" t="str">
        <f t="shared" si="2"/>
        <v>Constantine</v>
      </c>
      <c r="C15" t="s">
        <v>31</v>
      </c>
      <c r="D15" t="s">
        <v>40</v>
      </c>
      <c r="E15">
        <v>3</v>
      </c>
      <c r="F15">
        <v>0</v>
      </c>
      <c r="G15">
        <v>0</v>
      </c>
      <c r="H15">
        <v>30</v>
      </c>
      <c r="I15">
        <v>10</v>
      </c>
      <c r="J15" t="s">
        <v>13</v>
      </c>
      <c r="K15">
        <v>4</v>
      </c>
      <c r="L15">
        <v>100</v>
      </c>
      <c r="M15">
        <v>100</v>
      </c>
      <c r="N15">
        <v>0</v>
      </c>
      <c r="O15">
        <v>1</v>
      </c>
      <c r="P15">
        <v>0</v>
      </c>
      <c r="Q15">
        <v>10</v>
      </c>
      <c r="R15">
        <v>8</v>
      </c>
      <c r="S15">
        <v>6</v>
      </c>
      <c r="T15">
        <v>2</v>
      </c>
      <c r="U15">
        <v>4</v>
      </c>
      <c r="V15">
        <v>3</v>
      </c>
      <c r="W15">
        <v>5</v>
      </c>
      <c r="X15">
        <v>7</v>
      </c>
      <c r="Y15">
        <v>8</v>
      </c>
      <c r="Z15">
        <v>9</v>
      </c>
      <c r="AA15">
        <v>5</v>
      </c>
      <c r="AB15">
        <v>99</v>
      </c>
      <c r="AC15">
        <v>19</v>
      </c>
      <c r="AD15">
        <v>5</v>
      </c>
      <c r="AE15">
        <v>3</v>
      </c>
      <c r="AF15">
        <v>99</v>
      </c>
      <c r="AG15">
        <v>76</v>
      </c>
      <c r="AH15">
        <v>77</v>
      </c>
      <c r="AI15">
        <v>78</v>
      </c>
      <c r="AJ15">
        <v>79</v>
      </c>
      <c r="AK15">
        <v>75</v>
      </c>
      <c r="AM15" t="str">
        <f t="shared" si="3"/>
        <v>Constantine</v>
      </c>
      <c r="AN15" t="s">
        <v>106</v>
      </c>
      <c r="AO15" t="s">
        <v>106</v>
      </c>
      <c r="AP15" t="s">
        <v>107</v>
      </c>
    </row>
    <row r="16" spans="1:42" x14ac:dyDescent="0.3">
      <c r="A16">
        <f t="shared" si="0"/>
        <v>14</v>
      </c>
      <c r="B16" t="str">
        <f t="shared" si="2"/>
        <v>Jane</v>
      </c>
      <c r="C16" t="s">
        <v>73</v>
      </c>
      <c r="D16" t="s">
        <v>135</v>
      </c>
      <c r="E16">
        <v>3</v>
      </c>
      <c r="F16">
        <v>0</v>
      </c>
      <c r="G16">
        <v>0</v>
      </c>
      <c r="H16">
        <v>30</v>
      </c>
      <c r="I16">
        <v>10</v>
      </c>
      <c r="J16" t="s">
        <v>13</v>
      </c>
      <c r="K16">
        <v>4</v>
      </c>
      <c r="L16">
        <v>100</v>
      </c>
      <c r="M16">
        <v>100</v>
      </c>
      <c r="N16">
        <v>0</v>
      </c>
      <c r="O16">
        <v>2</v>
      </c>
      <c r="P16">
        <v>0</v>
      </c>
      <c r="Q16">
        <v>10</v>
      </c>
      <c r="R16">
        <v>1</v>
      </c>
      <c r="S16">
        <v>4</v>
      </c>
      <c r="T16">
        <v>4</v>
      </c>
      <c r="U16">
        <v>4</v>
      </c>
      <c r="V16">
        <v>3</v>
      </c>
      <c r="W16">
        <v>5</v>
      </c>
      <c r="X16">
        <v>7</v>
      </c>
      <c r="Y16">
        <v>8</v>
      </c>
      <c r="Z16">
        <v>9</v>
      </c>
      <c r="AA16">
        <v>5</v>
      </c>
      <c r="AB16">
        <v>99</v>
      </c>
      <c r="AC16">
        <v>21</v>
      </c>
      <c r="AD16">
        <v>5</v>
      </c>
      <c r="AE16">
        <v>3</v>
      </c>
      <c r="AF16">
        <v>99</v>
      </c>
      <c r="AG16">
        <v>76</v>
      </c>
      <c r="AH16">
        <v>77</v>
      </c>
      <c r="AI16">
        <v>78</v>
      </c>
      <c r="AJ16">
        <v>79</v>
      </c>
      <c r="AK16">
        <v>75</v>
      </c>
      <c r="AM16" t="str">
        <f t="shared" si="3"/>
        <v>Jane</v>
      </c>
      <c r="AN16" t="s">
        <v>108</v>
      </c>
      <c r="AO16" t="s">
        <v>109</v>
      </c>
      <c r="AP16" t="s">
        <v>110</v>
      </c>
    </row>
    <row r="17" spans="1:42" x14ac:dyDescent="0.3">
      <c r="A17">
        <f t="shared" si="0"/>
        <v>15</v>
      </c>
      <c r="B17" t="str">
        <f t="shared" si="2"/>
        <v>Jacques</v>
      </c>
      <c r="C17" t="s">
        <v>33</v>
      </c>
      <c r="D17" t="s">
        <v>40</v>
      </c>
      <c r="E17">
        <v>3</v>
      </c>
      <c r="F17">
        <v>0</v>
      </c>
      <c r="G17">
        <v>0</v>
      </c>
      <c r="H17">
        <v>30</v>
      </c>
      <c r="I17">
        <v>10</v>
      </c>
      <c r="J17" t="s">
        <v>13</v>
      </c>
      <c r="K17">
        <v>4</v>
      </c>
      <c r="L17">
        <v>100</v>
      </c>
      <c r="M17">
        <v>100</v>
      </c>
      <c r="N17">
        <v>0</v>
      </c>
      <c r="O17">
        <v>1</v>
      </c>
      <c r="P17">
        <v>0</v>
      </c>
      <c r="Q17">
        <v>10</v>
      </c>
      <c r="R17">
        <v>2</v>
      </c>
      <c r="S17">
        <v>5</v>
      </c>
      <c r="T17">
        <v>0</v>
      </c>
      <c r="U17">
        <v>4</v>
      </c>
      <c r="V17">
        <v>3</v>
      </c>
      <c r="W17">
        <v>5</v>
      </c>
      <c r="X17">
        <v>7</v>
      </c>
      <c r="Y17">
        <v>8</v>
      </c>
      <c r="Z17">
        <v>9</v>
      </c>
      <c r="AA17">
        <v>5</v>
      </c>
      <c r="AB17">
        <v>99</v>
      </c>
      <c r="AC17">
        <v>22</v>
      </c>
      <c r="AD17">
        <v>5</v>
      </c>
      <c r="AE17">
        <v>3</v>
      </c>
      <c r="AF17">
        <v>99</v>
      </c>
      <c r="AG17">
        <v>76</v>
      </c>
      <c r="AH17">
        <v>77</v>
      </c>
      <c r="AI17">
        <v>78</v>
      </c>
      <c r="AJ17">
        <v>79</v>
      </c>
      <c r="AK17">
        <v>75</v>
      </c>
      <c r="AM17" t="str">
        <f t="shared" si="3"/>
        <v>Jacques</v>
      </c>
      <c r="AN17" t="s">
        <v>111</v>
      </c>
      <c r="AO17" t="s">
        <v>111</v>
      </c>
      <c r="AP17" t="s">
        <v>112</v>
      </c>
    </row>
    <row r="18" spans="1:42" x14ac:dyDescent="0.3">
      <c r="A18">
        <f t="shared" si="0"/>
        <v>16</v>
      </c>
      <c r="B18" t="str">
        <f t="shared" si="2"/>
        <v>Dido</v>
      </c>
      <c r="C18" t="s">
        <v>34</v>
      </c>
      <c r="D18" t="s">
        <v>27</v>
      </c>
      <c r="E18">
        <v>3</v>
      </c>
      <c r="F18">
        <v>0</v>
      </c>
      <c r="G18">
        <v>0</v>
      </c>
      <c r="H18">
        <v>30</v>
      </c>
      <c r="I18">
        <v>10</v>
      </c>
      <c r="J18" t="s">
        <v>13</v>
      </c>
      <c r="K18">
        <v>4</v>
      </c>
      <c r="L18">
        <v>100</v>
      </c>
      <c r="M18">
        <v>100</v>
      </c>
      <c r="N18">
        <v>0</v>
      </c>
      <c r="O18">
        <v>1</v>
      </c>
      <c r="P18">
        <v>0</v>
      </c>
      <c r="Q18">
        <v>10</v>
      </c>
      <c r="R18">
        <v>3</v>
      </c>
      <c r="S18">
        <v>2</v>
      </c>
      <c r="T18">
        <v>0</v>
      </c>
      <c r="U18">
        <v>4</v>
      </c>
      <c r="V18">
        <v>3</v>
      </c>
      <c r="W18">
        <v>5</v>
      </c>
      <c r="X18">
        <v>7</v>
      </c>
      <c r="Y18">
        <v>8</v>
      </c>
      <c r="Z18">
        <v>9</v>
      </c>
      <c r="AA18">
        <v>5</v>
      </c>
      <c r="AB18">
        <v>99</v>
      </c>
      <c r="AC18">
        <v>23</v>
      </c>
      <c r="AD18">
        <v>5</v>
      </c>
      <c r="AE18">
        <v>3</v>
      </c>
      <c r="AF18">
        <v>99</v>
      </c>
      <c r="AG18">
        <v>76</v>
      </c>
      <c r="AH18">
        <v>77</v>
      </c>
      <c r="AI18">
        <v>78</v>
      </c>
      <c r="AJ18">
        <v>79</v>
      </c>
      <c r="AK18">
        <v>75</v>
      </c>
      <c r="AM18" t="str">
        <f t="shared" si="3"/>
        <v>Dido</v>
      </c>
      <c r="AN18" t="s">
        <v>113</v>
      </c>
      <c r="AO18" t="s">
        <v>113</v>
      </c>
      <c r="AP18" t="s">
        <v>114</v>
      </c>
    </row>
    <row r="19" spans="1:42" x14ac:dyDescent="0.3">
      <c r="A19">
        <f t="shared" si="0"/>
        <v>17</v>
      </c>
      <c r="B19" t="str">
        <f t="shared" si="2"/>
        <v>Louis</v>
      </c>
      <c r="C19" t="s">
        <v>35</v>
      </c>
      <c r="D19" t="s">
        <v>137</v>
      </c>
      <c r="E19">
        <v>3</v>
      </c>
      <c r="F19">
        <v>0</v>
      </c>
      <c r="G19">
        <v>0</v>
      </c>
      <c r="H19">
        <v>30</v>
      </c>
      <c r="I19">
        <v>10</v>
      </c>
      <c r="J19" t="s">
        <v>13</v>
      </c>
      <c r="K19">
        <v>4</v>
      </c>
      <c r="L19">
        <v>100</v>
      </c>
      <c r="M19">
        <v>100</v>
      </c>
      <c r="N19">
        <v>0</v>
      </c>
      <c r="O19">
        <v>1</v>
      </c>
      <c r="P19">
        <v>0</v>
      </c>
      <c r="Q19">
        <v>10</v>
      </c>
      <c r="R19">
        <v>4</v>
      </c>
      <c r="S19">
        <v>3</v>
      </c>
      <c r="T19">
        <v>0</v>
      </c>
      <c r="U19">
        <v>4</v>
      </c>
      <c r="V19">
        <v>3</v>
      </c>
      <c r="W19">
        <v>5</v>
      </c>
      <c r="X19">
        <v>7</v>
      </c>
      <c r="Y19">
        <v>8</v>
      </c>
      <c r="Z19">
        <v>9</v>
      </c>
      <c r="AA19">
        <v>5</v>
      </c>
      <c r="AB19">
        <v>99</v>
      </c>
      <c r="AC19">
        <v>24</v>
      </c>
      <c r="AD19">
        <v>5</v>
      </c>
      <c r="AE19">
        <v>3</v>
      </c>
      <c r="AF19">
        <v>99</v>
      </c>
      <c r="AG19">
        <v>76</v>
      </c>
      <c r="AH19">
        <v>77</v>
      </c>
      <c r="AI19">
        <v>78</v>
      </c>
      <c r="AJ19">
        <v>79</v>
      </c>
      <c r="AK19">
        <v>75</v>
      </c>
      <c r="AM19" t="str">
        <f t="shared" si="3"/>
        <v>Louis</v>
      </c>
      <c r="AN19" t="s">
        <v>115</v>
      </c>
      <c r="AO19" t="s">
        <v>115</v>
      </c>
      <c r="AP19" t="s">
        <v>116</v>
      </c>
    </row>
    <row r="20" spans="1:42" x14ac:dyDescent="0.3">
      <c r="A20">
        <f t="shared" si="0"/>
        <v>18</v>
      </c>
      <c r="B20" t="str">
        <f t="shared" si="2"/>
        <v>Maria</v>
      </c>
      <c r="C20" t="s">
        <v>39</v>
      </c>
      <c r="D20" t="s">
        <v>135</v>
      </c>
      <c r="E20">
        <v>3</v>
      </c>
      <c r="F20">
        <v>0</v>
      </c>
      <c r="G20">
        <v>0</v>
      </c>
      <c r="H20">
        <v>30</v>
      </c>
      <c r="I20">
        <v>10</v>
      </c>
      <c r="J20" t="s">
        <v>13</v>
      </c>
      <c r="K20">
        <v>4</v>
      </c>
      <c r="L20">
        <v>100</v>
      </c>
      <c r="M20">
        <v>100</v>
      </c>
      <c r="N20">
        <v>0</v>
      </c>
      <c r="O20">
        <v>2</v>
      </c>
      <c r="P20">
        <v>0</v>
      </c>
      <c r="Q20">
        <v>10</v>
      </c>
      <c r="R20">
        <v>5</v>
      </c>
      <c r="S20">
        <v>1</v>
      </c>
      <c r="T20">
        <v>0</v>
      </c>
      <c r="U20">
        <v>4</v>
      </c>
      <c r="V20">
        <v>3</v>
      </c>
      <c r="W20">
        <v>5</v>
      </c>
      <c r="X20">
        <v>7</v>
      </c>
      <c r="Y20">
        <v>8</v>
      </c>
      <c r="Z20">
        <v>9</v>
      </c>
      <c r="AA20">
        <v>5</v>
      </c>
      <c r="AB20">
        <v>99</v>
      </c>
      <c r="AC20">
        <v>25</v>
      </c>
      <c r="AD20">
        <v>5</v>
      </c>
      <c r="AE20">
        <v>3</v>
      </c>
      <c r="AF20">
        <v>99</v>
      </c>
      <c r="AG20">
        <v>76</v>
      </c>
      <c r="AH20">
        <v>77</v>
      </c>
      <c r="AI20">
        <v>78</v>
      </c>
      <c r="AJ20">
        <v>79</v>
      </c>
      <c r="AK20">
        <v>75</v>
      </c>
      <c r="AM20" t="str">
        <f t="shared" si="3"/>
        <v>Maria</v>
      </c>
      <c r="AN20" t="s">
        <v>117</v>
      </c>
      <c r="AO20" t="s">
        <v>118</v>
      </c>
      <c r="AP20" t="s">
        <v>119</v>
      </c>
    </row>
    <row r="21" spans="1:42" x14ac:dyDescent="0.3">
      <c r="A21">
        <f t="shared" si="0"/>
        <v>19</v>
      </c>
      <c r="B21" t="str">
        <f t="shared" si="2"/>
        <v>Messia</v>
      </c>
      <c r="C21" t="s">
        <v>36</v>
      </c>
      <c r="D21" t="s">
        <v>135</v>
      </c>
      <c r="E21">
        <v>3</v>
      </c>
      <c r="F21">
        <v>0</v>
      </c>
      <c r="G21">
        <v>0</v>
      </c>
      <c r="H21">
        <v>0</v>
      </c>
      <c r="I21">
        <v>10</v>
      </c>
      <c r="J21" t="s">
        <v>13</v>
      </c>
      <c r="K21">
        <v>500</v>
      </c>
      <c r="L21">
        <v>100</v>
      </c>
      <c r="M21">
        <v>100</v>
      </c>
      <c r="N21">
        <v>0</v>
      </c>
      <c r="O21">
        <v>1</v>
      </c>
      <c r="P21">
        <v>0</v>
      </c>
      <c r="Q21">
        <v>10</v>
      </c>
      <c r="R21">
        <v>6</v>
      </c>
      <c r="S21">
        <v>2</v>
      </c>
      <c r="T21">
        <v>0</v>
      </c>
      <c r="U21">
        <v>4</v>
      </c>
      <c r="V21">
        <v>3</v>
      </c>
      <c r="W21">
        <v>5</v>
      </c>
      <c r="X21">
        <v>7</v>
      </c>
      <c r="Y21">
        <v>8</v>
      </c>
      <c r="Z21">
        <v>9</v>
      </c>
      <c r="AA21">
        <v>5</v>
      </c>
      <c r="AB21">
        <v>99</v>
      </c>
      <c r="AC21">
        <v>26</v>
      </c>
      <c r="AD21">
        <v>5</v>
      </c>
      <c r="AE21">
        <v>3</v>
      </c>
      <c r="AF21">
        <v>99</v>
      </c>
      <c r="AG21">
        <v>76</v>
      </c>
      <c r="AH21">
        <v>77</v>
      </c>
      <c r="AI21">
        <v>78</v>
      </c>
      <c r="AJ21">
        <v>79</v>
      </c>
      <c r="AK21">
        <v>75</v>
      </c>
      <c r="AM21" t="str">
        <f t="shared" si="3"/>
        <v>Messia</v>
      </c>
      <c r="AN21" s="1" t="s">
        <v>120</v>
      </c>
      <c r="AO21" s="1" t="s">
        <v>121</v>
      </c>
      <c r="AP21" t="s">
        <v>122</v>
      </c>
    </row>
    <row r="22" spans="1:42" x14ac:dyDescent="0.3">
      <c r="A22">
        <f t="shared" si="0"/>
        <v>20</v>
      </c>
      <c r="B22" t="str">
        <f t="shared" si="2"/>
        <v>Alexei</v>
      </c>
      <c r="C22" t="s">
        <v>151</v>
      </c>
      <c r="D22" t="s">
        <v>137</v>
      </c>
      <c r="E22">
        <v>3</v>
      </c>
      <c r="F22">
        <v>0</v>
      </c>
      <c r="G22">
        <v>0</v>
      </c>
      <c r="H22">
        <v>30</v>
      </c>
      <c r="I22">
        <v>10</v>
      </c>
      <c r="J22" t="s">
        <v>13</v>
      </c>
      <c r="K22">
        <v>4</v>
      </c>
      <c r="L22">
        <v>100</v>
      </c>
      <c r="M22">
        <v>100</v>
      </c>
      <c r="N22">
        <v>0</v>
      </c>
      <c r="O22">
        <v>1</v>
      </c>
      <c r="P22">
        <v>0</v>
      </c>
      <c r="Q22">
        <v>10</v>
      </c>
      <c r="R22">
        <v>7</v>
      </c>
      <c r="S22">
        <v>1</v>
      </c>
      <c r="T22">
        <v>0</v>
      </c>
      <c r="U22">
        <v>4</v>
      </c>
      <c r="V22">
        <v>3</v>
      </c>
      <c r="W22">
        <v>5</v>
      </c>
      <c r="X22">
        <v>7</v>
      </c>
      <c r="Y22">
        <v>8</v>
      </c>
      <c r="Z22">
        <v>9</v>
      </c>
      <c r="AA22">
        <v>5</v>
      </c>
      <c r="AB22">
        <v>99</v>
      </c>
      <c r="AC22">
        <v>27</v>
      </c>
      <c r="AD22">
        <v>5</v>
      </c>
      <c r="AE22">
        <v>3</v>
      </c>
      <c r="AF22">
        <v>99</v>
      </c>
      <c r="AG22">
        <v>76</v>
      </c>
      <c r="AH22">
        <v>77</v>
      </c>
      <c r="AI22">
        <v>78</v>
      </c>
      <c r="AJ22">
        <v>79</v>
      </c>
      <c r="AK22">
        <v>75</v>
      </c>
      <c r="AM22" t="s">
        <v>37</v>
      </c>
      <c r="AN22" t="s">
        <v>123</v>
      </c>
      <c r="AO22" t="s">
        <v>124</v>
      </c>
      <c r="AP22" t="s">
        <v>125</v>
      </c>
    </row>
    <row r="23" spans="1:42" x14ac:dyDescent="0.3">
      <c r="A23">
        <f t="shared" si="0"/>
        <v>21</v>
      </c>
      <c r="B23" t="str">
        <f t="shared" si="2"/>
        <v>Roselle</v>
      </c>
      <c r="C23" t="s">
        <v>164</v>
      </c>
      <c r="D23" t="s">
        <v>137</v>
      </c>
      <c r="E23">
        <v>3</v>
      </c>
      <c r="F23">
        <v>0</v>
      </c>
      <c r="G23">
        <v>0</v>
      </c>
      <c r="H23">
        <v>30</v>
      </c>
      <c r="I23">
        <v>10</v>
      </c>
      <c r="J23" t="s">
        <v>13</v>
      </c>
      <c r="K23">
        <v>3</v>
      </c>
      <c r="L23">
        <v>100</v>
      </c>
      <c r="M23">
        <v>100</v>
      </c>
      <c r="N23">
        <v>100</v>
      </c>
      <c r="O23">
        <v>2</v>
      </c>
      <c r="P23">
        <v>0</v>
      </c>
      <c r="Q23">
        <v>0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99</v>
      </c>
      <c r="AC23">
        <v>28</v>
      </c>
      <c r="AD23">
        <v>5</v>
      </c>
      <c r="AE23">
        <v>5</v>
      </c>
      <c r="AF23">
        <v>99</v>
      </c>
      <c r="AG23">
        <v>76</v>
      </c>
      <c r="AH23">
        <v>77</v>
      </c>
      <c r="AI23">
        <v>78</v>
      </c>
      <c r="AJ23">
        <v>79</v>
      </c>
      <c r="AK23">
        <v>75</v>
      </c>
      <c r="AM23" t="s">
        <v>164</v>
      </c>
      <c r="AN23" t="s">
        <v>164</v>
      </c>
      <c r="AO23" t="s">
        <v>164</v>
      </c>
      <c r="AP23" t="s">
        <v>164</v>
      </c>
    </row>
    <row r="24" spans="1:42" x14ac:dyDescent="0.3">
      <c r="A24">
        <f t="shared" si="0"/>
        <v>22</v>
      </c>
      <c r="B24" t="str">
        <f t="shared" si="2"/>
        <v>Hanna</v>
      </c>
      <c r="C24" t="s">
        <v>72</v>
      </c>
      <c r="D24" t="s">
        <v>137</v>
      </c>
      <c r="E24">
        <v>3</v>
      </c>
      <c r="F24">
        <v>0</v>
      </c>
      <c r="G24">
        <v>0</v>
      </c>
      <c r="H24">
        <v>30</v>
      </c>
      <c r="I24">
        <v>10</v>
      </c>
      <c r="J24" t="s">
        <v>13</v>
      </c>
      <c r="K24">
        <v>3</v>
      </c>
      <c r="L24">
        <v>100</v>
      </c>
      <c r="M24">
        <v>100</v>
      </c>
      <c r="N24">
        <v>100</v>
      </c>
      <c r="O24">
        <v>1</v>
      </c>
      <c r="P24">
        <v>0</v>
      </c>
      <c r="Q24">
        <v>0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99</v>
      </c>
      <c r="AC24">
        <v>29</v>
      </c>
      <c r="AD24">
        <v>5</v>
      </c>
      <c r="AE24">
        <v>5</v>
      </c>
      <c r="AF24">
        <v>99</v>
      </c>
      <c r="AG24">
        <v>76</v>
      </c>
      <c r="AH24">
        <v>77</v>
      </c>
      <c r="AI24">
        <v>78</v>
      </c>
      <c r="AJ24">
        <v>79</v>
      </c>
      <c r="AK24">
        <v>75</v>
      </c>
      <c r="AM24" t="s">
        <v>72</v>
      </c>
      <c r="AN24" t="s">
        <v>126</v>
      </c>
      <c r="AO24" t="s">
        <v>127</v>
      </c>
      <c r="AP24" t="s">
        <v>128</v>
      </c>
    </row>
    <row r="25" spans="1:42" x14ac:dyDescent="0.3">
      <c r="A25">
        <f t="shared" si="0"/>
        <v>23</v>
      </c>
      <c r="B25" t="str">
        <f t="shared" si="2"/>
        <v>Guinevere</v>
      </c>
      <c r="C25" t="s">
        <v>129</v>
      </c>
      <c r="D25" t="s">
        <v>40</v>
      </c>
      <c r="E25">
        <v>3</v>
      </c>
      <c r="F25">
        <v>0</v>
      </c>
      <c r="G25">
        <v>0</v>
      </c>
      <c r="H25">
        <v>30</v>
      </c>
      <c r="I25">
        <v>10</v>
      </c>
      <c r="J25" t="s">
        <v>13</v>
      </c>
      <c r="K25">
        <v>3</v>
      </c>
      <c r="L25">
        <v>100</v>
      </c>
      <c r="M25">
        <v>100</v>
      </c>
      <c r="N25">
        <v>100</v>
      </c>
      <c r="O25">
        <v>2</v>
      </c>
      <c r="P25">
        <v>0</v>
      </c>
      <c r="Q25">
        <v>2500</v>
      </c>
      <c r="R25">
        <v>5</v>
      </c>
      <c r="S25">
        <v>5</v>
      </c>
      <c r="T25">
        <v>5</v>
      </c>
      <c r="U25">
        <v>9998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99</v>
      </c>
      <c r="AC25">
        <v>30</v>
      </c>
      <c r="AD25">
        <v>5</v>
      </c>
      <c r="AE25">
        <v>5</v>
      </c>
      <c r="AF25">
        <v>99</v>
      </c>
      <c r="AG25">
        <v>76</v>
      </c>
      <c r="AH25">
        <v>76</v>
      </c>
      <c r="AI25">
        <v>76</v>
      </c>
      <c r="AJ25">
        <v>76</v>
      </c>
      <c r="AK25">
        <v>76</v>
      </c>
      <c r="AM25" t="s">
        <v>129</v>
      </c>
      <c r="AN25" t="s">
        <v>129</v>
      </c>
      <c r="AO25" t="s">
        <v>129</v>
      </c>
      <c r="AP25" t="s">
        <v>129</v>
      </c>
    </row>
    <row r="26" spans="1:42" x14ac:dyDescent="0.3">
      <c r="A26">
        <f t="shared" si="0"/>
        <v>24</v>
      </c>
      <c r="B26" t="str">
        <f t="shared" si="2"/>
        <v>Abaddon</v>
      </c>
      <c r="C26" t="s">
        <v>130</v>
      </c>
      <c r="D26" t="s">
        <v>40</v>
      </c>
      <c r="E26">
        <v>3</v>
      </c>
      <c r="F26">
        <v>0</v>
      </c>
      <c r="G26">
        <v>0</v>
      </c>
      <c r="H26">
        <v>30</v>
      </c>
      <c r="I26">
        <v>10</v>
      </c>
      <c r="J26" t="s">
        <v>13</v>
      </c>
      <c r="K26">
        <v>4</v>
      </c>
      <c r="L26">
        <v>9999</v>
      </c>
      <c r="M26">
        <v>9999</v>
      </c>
      <c r="N26">
        <v>100</v>
      </c>
      <c r="O26">
        <v>2</v>
      </c>
      <c r="P26">
        <v>0</v>
      </c>
      <c r="Q26">
        <v>0</v>
      </c>
      <c r="R26">
        <v>6</v>
      </c>
      <c r="S26">
        <v>6</v>
      </c>
      <c r="T26">
        <v>6</v>
      </c>
      <c r="U26">
        <v>6</v>
      </c>
      <c r="V26">
        <v>100</v>
      </c>
      <c r="W26">
        <v>6</v>
      </c>
      <c r="X26">
        <v>6</v>
      </c>
      <c r="Y26">
        <v>6</v>
      </c>
      <c r="Z26">
        <v>6</v>
      </c>
      <c r="AA26">
        <v>6</v>
      </c>
      <c r="AB26">
        <v>99</v>
      </c>
      <c r="AC26">
        <v>21</v>
      </c>
      <c r="AD26">
        <v>6</v>
      </c>
      <c r="AE26">
        <v>6</v>
      </c>
      <c r="AF26">
        <v>99</v>
      </c>
      <c r="AG26">
        <v>76</v>
      </c>
      <c r="AH26">
        <v>76</v>
      </c>
      <c r="AI26">
        <v>76</v>
      </c>
      <c r="AJ26">
        <v>76</v>
      </c>
      <c r="AK26">
        <v>76</v>
      </c>
      <c r="AM26" t="s">
        <v>130</v>
      </c>
      <c r="AN26" t="s">
        <v>130</v>
      </c>
      <c r="AO26" t="s">
        <v>130</v>
      </c>
      <c r="AP26" t="s">
        <v>130</v>
      </c>
    </row>
    <row r="27" spans="1:42" x14ac:dyDescent="0.3">
      <c r="A27">
        <f t="shared" si="0"/>
        <v>25</v>
      </c>
      <c r="B27" t="str">
        <f t="shared" si="2"/>
        <v>Roselle</v>
      </c>
      <c r="C27" t="s">
        <v>164</v>
      </c>
      <c r="D27" t="s">
        <v>40</v>
      </c>
      <c r="E27">
        <v>3</v>
      </c>
      <c r="F27">
        <v>0</v>
      </c>
      <c r="G27">
        <v>0</v>
      </c>
      <c r="H27">
        <v>30</v>
      </c>
      <c r="I27">
        <v>10</v>
      </c>
      <c r="J27" t="s">
        <v>13</v>
      </c>
      <c r="K27">
        <v>4</v>
      </c>
      <c r="L27">
        <v>100</v>
      </c>
      <c r="M27">
        <v>100</v>
      </c>
      <c r="N27">
        <v>1000</v>
      </c>
      <c r="O27">
        <v>2</v>
      </c>
      <c r="P27">
        <v>0</v>
      </c>
      <c r="Q27">
        <v>0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99</v>
      </c>
      <c r="AC27">
        <v>55</v>
      </c>
      <c r="AD27">
        <v>5</v>
      </c>
      <c r="AE27">
        <v>5</v>
      </c>
      <c r="AF27">
        <v>99</v>
      </c>
      <c r="AG27">
        <v>76</v>
      </c>
      <c r="AH27">
        <v>76</v>
      </c>
      <c r="AI27">
        <v>76</v>
      </c>
      <c r="AJ27">
        <v>76</v>
      </c>
      <c r="AK27">
        <v>76</v>
      </c>
      <c r="AM27" t="s">
        <v>164</v>
      </c>
      <c r="AN27" t="s">
        <v>164</v>
      </c>
      <c r="AO27" t="s">
        <v>164</v>
      </c>
      <c r="AP27" t="s">
        <v>164</v>
      </c>
    </row>
    <row r="28" spans="1:42" x14ac:dyDescent="0.3">
      <c r="A28">
        <f t="shared" si="0"/>
        <v>26</v>
      </c>
      <c r="B28" t="str">
        <f t="shared" si="2"/>
        <v>Friederike</v>
      </c>
      <c r="C28" t="s">
        <v>131</v>
      </c>
      <c r="D28" t="s">
        <v>40</v>
      </c>
      <c r="E28">
        <v>3</v>
      </c>
      <c r="F28">
        <v>0</v>
      </c>
      <c r="G28">
        <v>0</v>
      </c>
      <c r="H28">
        <v>30</v>
      </c>
      <c r="I28">
        <v>10</v>
      </c>
      <c r="J28" t="s">
        <v>13</v>
      </c>
      <c r="K28">
        <v>4</v>
      </c>
      <c r="L28">
        <v>100</v>
      </c>
      <c r="M28">
        <v>100</v>
      </c>
      <c r="N28">
        <v>1000</v>
      </c>
      <c r="O28">
        <v>2</v>
      </c>
      <c r="P28">
        <v>0</v>
      </c>
      <c r="Q28">
        <v>0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99</v>
      </c>
      <c r="AC28">
        <v>45</v>
      </c>
      <c r="AD28">
        <v>5</v>
      </c>
      <c r="AE28">
        <v>5</v>
      </c>
      <c r="AF28">
        <v>99</v>
      </c>
      <c r="AG28">
        <v>76</v>
      </c>
      <c r="AH28">
        <v>76</v>
      </c>
      <c r="AI28">
        <v>76</v>
      </c>
      <c r="AJ28">
        <v>76</v>
      </c>
      <c r="AK28">
        <v>76</v>
      </c>
      <c r="AM28" t="s">
        <v>131</v>
      </c>
      <c r="AN28" t="s">
        <v>131</v>
      </c>
      <c r="AO28" t="s">
        <v>131</v>
      </c>
      <c r="AP28" t="s">
        <v>131</v>
      </c>
    </row>
    <row r="29" spans="1:42" x14ac:dyDescent="0.3">
      <c r="A29">
        <f t="shared" si="0"/>
        <v>27</v>
      </c>
      <c r="B29" t="str">
        <f t="shared" si="2"/>
        <v>LiYa</v>
      </c>
      <c r="C29" t="s">
        <v>132</v>
      </c>
      <c r="D29" t="s">
        <v>40</v>
      </c>
      <c r="E29">
        <v>3</v>
      </c>
      <c r="F29">
        <v>0</v>
      </c>
      <c r="G29">
        <v>0</v>
      </c>
      <c r="H29">
        <v>0</v>
      </c>
      <c r="I29">
        <v>10</v>
      </c>
      <c r="J29" t="s">
        <v>13</v>
      </c>
      <c r="K29">
        <v>4</v>
      </c>
      <c r="L29">
        <v>100</v>
      </c>
      <c r="M29">
        <v>100</v>
      </c>
      <c r="N29">
        <v>1000</v>
      </c>
      <c r="O29">
        <v>2</v>
      </c>
      <c r="P29">
        <v>0</v>
      </c>
      <c r="Q29">
        <v>0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99</v>
      </c>
      <c r="AC29">
        <v>5</v>
      </c>
      <c r="AD29">
        <v>5</v>
      </c>
      <c r="AE29">
        <v>5</v>
      </c>
      <c r="AF29">
        <v>99</v>
      </c>
      <c r="AG29">
        <v>76</v>
      </c>
      <c r="AH29">
        <v>76</v>
      </c>
      <c r="AI29">
        <v>76</v>
      </c>
      <c r="AJ29">
        <v>76</v>
      </c>
      <c r="AK29">
        <v>76</v>
      </c>
      <c r="AM29" t="s">
        <v>132</v>
      </c>
      <c r="AN29" t="s">
        <v>132</v>
      </c>
      <c r="AO29" t="s">
        <v>132</v>
      </c>
      <c r="AP29" t="s">
        <v>132</v>
      </c>
    </row>
    <row r="30" spans="1:42" x14ac:dyDescent="0.3">
      <c r="A30">
        <f t="shared" si="0"/>
        <v>28</v>
      </c>
      <c r="B30" t="str">
        <f t="shared" si="2"/>
        <v>Hohenzollern</v>
      </c>
      <c r="C30" t="s">
        <v>133</v>
      </c>
      <c r="D30" t="s">
        <v>40</v>
      </c>
      <c r="E30">
        <v>3</v>
      </c>
      <c r="F30">
        <v>0</v>
      </c>
      <c r="G30">
        <v>0</v>
      </c>
      <c r="H30">
        <v>30</v>
      </c>
      <c r="I30">
        <v>10</v>
      </c>
      <c r="J30" t="s">
        <v>13</v>
      </c>
      <c r="K30">
        <v>4</v>
      </c>
      <c r="L30">
        <v>100</v>
      </c>
      <c r="M30">
        <v>100</v>
      </c>
      <c r="N30">
        <v>100</v>
      </c>
      <c r="O30">
        <v>2</v>
      </c>
      <c r="P30">
        <v>0</v>
      </c>
      <c r="Q30">
        <v>0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99</v>
      </c>
      <c r="AC30">
        <v>5</v>
      </c>
      <c r="AD30">
        <v>5</v>
      </c>
      <c r="AE30">
        <v>5</v>
      </c>
      <c r="AF30">
        <v>99</v>
      </c>
      <c r="AG30">
        <v>76</v>
      </c>
      <c r="AH30">
        <v>76</v>
      </c>
      <c r="AI30">
        <v>76</v>
      </c>
      <c r="AJ30">
        <v>76</v>
      </c>
      <c r="AK30">
        <v>76</v>
      </c>
      <c r="AM30" t="s">
        <v>133</v>
      </c>
      <c r="AN30" t="s">
        <v>133</v>
      </c>
      <c r="AO30" t="s">
        <v>133</v>
      </c>
      <c r="AP30" t="s">
        <v>133</v>
      </c>
    </row>
    <row r="31" spans="1:42" x14ac:dyDescent="0.3">
      <c r="A31">
        <f t="shared" si="0"/>
        <v>29</v>
      </c>
      <c r="B31" t="str">
        <f t="shared" si="2"/>
        <v>Joan</v>
      </c>
      <c r="C31" t="s">
        <v>134</v>
      </c>
      <c r="D31" t="s">
        <v>40</v>
      </c>
      <c r="E31">
        <v>3</v>
      </c>
      <c r="F31">
        <v>0</v>
      </c>
      <c r="G31">
        <v>0</v>
      </c>
      <c r="H31">
        <v>30</v>
      </c>
      <c r="I31">
        <v>10</v>
      </c>
      <c r="J31" t="s">
        <v>13</v>
      </c>
      <c r="K31">
        <v>4</v>
      </c>
      <c r="L31">
        <v>100</v>
      </c>
      <c r="M31">
        <v>100</v>
      </c>
      <c r="N31">
        <v>100</v>
      </c>
      <c r="O31">
        <v>2</v>
      </c>
      <c r="P31">
        <v>0</v>
      </c>
      <c r="Q31">
        <v>0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88</v>
      </c>
      <c r="AC31">
        <v>4</v>
      </c>
      <c r="AD31">
        <v>5</v>
      </c>
      <c r="AE31">
        <v>5</v>
      </c>
      <c r="AF31">
        <v>70</v>
      </c>
      <c r="AG31">
        <v>76</v>
      </c>
      <c r="AH31">
        <v>76</v>
      </c>
      <c r="AI31">
        <v>76</v>
      </c>
      <c r="AJ31">
        <v>76</v>
      </c>
      <c r="AK31">
        <v>76</v>
      </c>
      <c r="AM31" t="s">
        <v>134</v>
      </c>
      <c r="AN31" t="s">
        <v>134</v>
      </c>
      <c r="AO31" t="s">
        <v>134</v>
      </c>
      <c r="AP31" t="s">
        <v>134</v>
      </c>
    </row>
    <row r="32" spans="1:42" x14ac:dyDescent="0.3">
      <c r="A32">
        <f t="shared" si="0"/>
        <v>30</v>
      </c>
      <c r="B32" t="str">
        <f t="shared" si="2"/>
        <v>Antonia</v>
      </c>
      <c r="C32" t="s">
        <v>152</v>
      </c>
      <c r="D32" t="s">
        <v>40</v>
      </c>
      <c r="E32">
        <v>3</v>
      </c>
      <c r="F32">
        <v>0</v>
      </c>
      <c r="G32">
        <v>0</v>
      </c>
      <c r="H32">
        <v>30</v>
      </c>
      <c r="I32">
        <v>10</v>
      </c>
      <c r="J32" t="s">
        <v>13</v>
      </c>
      <c r="K32">
        <v>4</v>
      </c>
      <c r="L32">
        <v>100</v>
      </c>
      <c r="M32">
        <v>100</v>
      </c>
      <c r="N32">
        <v>100</v>
      </c>
      <c r="O32">
        <v>2</v>
      </c>
      <c r="P32">
        <v>0</v>
      </c>
      <c r="Q32">
        <v>0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77</v>
      </c>
      <c r="AC32">
        <v>5</v>
      </c>
      <c r="AD32">
        <v>5</v>
      </c>
      <c r="AE32">
        <v>5</v>
      </c>
      <c r="AF32">
        <v>50</v>
      </c>
      <c r="AG32">
        <v>76</v>
      </c>
      <c r="AH32">
        <v>76</v>
      </c>
      <c r="AI32">
        <v>76</v>
      </c>
      <c r="AJ32">
        <v>76</v>
      </c>
      <c r="AK32">
        <v>76</v>
      </c>
      <c r="AM32" t="s">
        <v>136</v>
      </c>
      <c r="AN32" t="s">
        <v>136</v>
      </c>
      <c r="AO32" t="s">
        <v>136</v>
      </c>
      <c r="AP32" t="s">
        <v>136</v>
      </c>
    </row>
    <row r="33" spans="1:42" x14ac:dyDescent="0.3">
      <c r="A33">
        <f t="shared" si="0"/>
        <v>31</v>
      </c>
      <c r="B33" t="str">
        <f t="shared" si="2"/>
        <v>Bettisia</v>
      </c>
      <c r="C33" t="s">
        <v>138</v>
      </c>
      <c r="D33" t="s">
        <v>40</v>
      </c>
      <c r="E33">
        <v>3</v>
      </c>
      <c r="F33">
        <v>0</v>
      </c>
      <c r="G33">
        <v>0</v>
      </c>
      <c r="H33">
        <v>30</v>
      </c>
      <c r="I33">
        <v>10</v>
      </c>
      <c r="J33" t="s">
        <v>13</v>
      </c>
      <c r="K33">
        <v>4</v>
      </c>
      <c r="L33">
        <v>100</v>
      </c>
      <c r="M33">
        <v>100</v>
      </c>
      <c r="N33">
        <v>100</v>
      </c>
      <c r="O33">
        <v>2</v>
      </c>
      <c r="P33">
        <v>0</v>
      </c>
      <c r="Q33">
        <v>0</v>
      </c>
      <c r="R33">
        <v>6</v>
      </c>
      <c r="S33">
        <v>6</v>
      </c>
      <c r="T33">
        <v>6</v>
      </c>
      <c r="U33">
        <v>6</v>
      </c>
      <c r="V33">
        <v>6</v>
      </c>
      <c r="W33">
        <v>6</v>
      </c>
      <c r="X33">
        <v>6</v>
      </c>
      <c r="Y33">
        <v>6</v>
      </c>
      <c r="Z33">
        <v>6</v>
      </c>
      <c r="AA33">
        <v>6</v>
      </c>
      <c r="AB33">
        <v>55</v>
      </c>
      <c r="AC33">
        <v>55</v>
      </c>
      <c r="AD33">
        <v>5</v>
      </c>
      <c r="AE33">
        <v>5</v>
      </c>
      <c r="AF33">
        <v>50</v>
      </c>
      <c r="AG33">
        <v>76</v>
      </c>
      <c r="AH33">
        <v>76</v>
      </c>
      <c r="AI33">
        <v>76</v>
      </c>
      <c r="AJ33">
        <v>76</v>
      </c>
      <c r="AK33">
        <v>76</v>
      </c>
      <c r="AM33" t="s">
        <v>138</v>
      </c>
      <c r="AN33" t="s">
        <v>138</v>
      </c>
      <c r="AO33" t="s">
        <v>138</v>
      </c>
      <c r="AP33" t="s">
        <v>138</v>
      </c>
    </row>
    <row r="34" spans="1:42" x14ac:dyDescent="0.3">
      <c r="A34">
        <f t="shared" si="0"/>
        <v>32</v>
      </c>
      <c r="B34" t="str">
        <f t="shared" si="2"/>
        <v>Satan</v>
      </c>
      <c r="C34" t="s">
        <v>139</v>
      </c>
      <c r="D34" t="s">
        <v>40</v>
      </c>
      <c r="E34">
        <v>3</v>
      </c>
      <c r="F34">
        <v>0</v>
      </c>
      <c r="G34">
        <v>0</v>
      </c>
      <c r="H34">
        <v>30</v>
      </c>
      <c r="I34">
        <v>10</v>
      </c>
      <c r="J34" t="s">
        <v>13</v>
      </c>
      <c r="K34">
        <v>4</v>
      </c>
      <c r="L34">
        <v>100</v>
      </c>
      <c r="M34">
        <v>100</v>
      </c>
      <c r="N34">
        <v>100</v>
      </c>
      <c r="O34">
        <v>2</v>
      </c>
      <c r="P34">
        <v>0</v>
      </c>
      <c r="Q34">
        <v>0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55</v>
      </c>
      <c r="AC34">
        <v>55</v>
      </c>
      <c r="AD34">
        <v>5</v>
      </c>
      <c r="AE34">
        <v>5</v>
      </c>
      <c r="AF34">
        <v>50</v>
      </c>
      <c r="AG34">
        <v>76</v>
      </c>
      <c r="AH34">
        <v>76</v>
      </c>
      <c r="AI34">
        <v>76</v>
      </c>
      <c r="AJ34">
        <v>76</v>
      </c>
      <c r="AK34">
        <v>76</v>
      </c>
      <c r="AM34" t="s">
        <v>139</v>
      </c>
      <c r="AN34" t="s">
        <v>139</v>
      </c>
      <c r="AO34" t="s">
        <v>139</v>
      </c>
      <c r="AP34" t="s">
        <v>139</v>
      </c>
    </row>
    <row r="35" spans="1:42" x14ac:dyDescent="0.3">
      <c r="A35">
        <f t="shared" si="0"/>
        <v>33</v>
      </c>
      <c r="B35" t="str">
        <f t="shared" si="2"/>
        <v>Lancelot</v>
      </c>
      <c r="C35" t="s">
        <v>140</v>
      </c>
      <c r="D35" t="s">
        <v>40</v>
      </c>
      <c r="E35">
        <v>3</v>
      </c>
      <c r="F35">
        <v>0</v>
      </c>
      <c r="G35">
        <v>0</v>
      </c>
      <c r="H35">
        <v>30</v>
      </c>
      <c r="I35">
        <v>10</v>
      </c>
      <c r="J35" t="s">
        <v>13</v>
      </c>
      <c r="K35">
        <v>4</v>
      </c>
      <c r="L35">
        <v>100</v>
      </c>
      <c r="M35">
        <v>100</v>
      </c>
      <c r="N35">
        <v>100</v>
      </c>
      <c r="O35">
        <v>2</v>
      </c>
      <c r="P35">
        <v>0</v>
      </c>
      <c r="Q35">
        <v>0</v>
      </c>
      <c r="R35">
        <v>6</v>
      </c>
      <c r="S35">
        <v>6</v>
      </c>
      <c r="T35">
        <v>6</v>
      </c>
      <c r="U35">
        <v>6</v>
      </c>
      <c r="V35">
        <v>6</v>
      </c>
      <c r="W35">
        <v>6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76</v>
      </c>
      <c r="AH35">
        <v>76</v>
      </c>
      <c r="AI35">
        <v>76</v>
      </c>
      <c r="AJ35">
        <v>76</v>
      </c>
      <c r="AK35">
        <v>76</v>
      </c>
      <c r="AM35" t="s">
        <v>140</v>
      </c>
      <c r="AN35" t="s">
        <v>140</v>
      </c>
      <c r="AO35" t="s">
        <v>140</v>
      </c>
      <c r="AP35" t="s">
        <v>140</v>
      </c>
    </row>
    <row r="36" spans="1:42" x14ac:dyDescent="0.3">
      <c r="A36">
        <f t="shared" si="0"/>
        <v>34</v>
      </c>
      <c r="B36" t="str">
        <f t="shared" si="2"/>
        <v>Eleanor</v>
      </c>
      <c r="C36" s="2" t="s">
        <v>32</v>
      </c>
      <c r="D36" t="s">
        <v>137</v>
      </c>
      <c r="E36">
        <v>3</v>
      </c>
      <c r="F36">
        <v>0</v>
      </c>
      <c r="G36">
        <v>0</v>
      </c>
      <c r="H36">
        <v>30</v>
      </c>
      <c r="I36">
        <v>10</v>
      </c>
      <c r="J36" t="s">
        <v>13</v>
      </c>
      <c r="K36">
        <v>4</v>
      </c>
      <c r="L36">
        <v>100</v>
      </c>
      <c r="M36">
        <v>100</v>
      </c>
      <c r="N36">
        <v>100</v>
      </c>
      <c r="O36">
        <v>2</v>
      </c>
      <c r="P36">
        <v>0</v>
      </c>
      <c r="Q36">
        <v>0</v>
      </c>
      <c r="R36">
        <v>6</v>
      </c>
      <c r="S36">
        <v>6</v>
      </c>
      <c r="T36">
        <v>6</v>
      </c>
      <c r="U36">
        <v>99</v>
      </c>
      <c r="V36">
        <v>6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76</v>
      </c>
      <c r="AH36">
        <v>76</v>
      </c>
      <c r="AI36">
        <v>76</v>
      </c>
      <c r="AJ36">
        <v>76</v>
      </c>
      <c r="AK36">
        <v>76</v>
      </c>
      <c r="AM36" t="s">
        <v>32</v>
      </c>
      <c r="AN36" t="s">
        <v>32</v>
      </c>
      <c r="AO36" t="s">
        <v>32</v>
      </c>
      <c r="AP36" t="s">
        <v>32</v>
      </c>
    </row>
    <row r="37" spans="1:42" x14ac:dyDescent="0.3">
      <c r="A37">
        <f t="shared" si="0"/>
        <v>35</v>
      </c>
      <c r="B37" t="str">
        <f t="shared" si="2"/>
        <v>Jeanne</v>
      </c>
      <c r="C37" s="2" t="s">
        <v>146</v>
      </c>
      <c r="D37" t="s">
        <v>137</v>
      </c>
      <c r="E37">
        <v>3</v>
      </c>
      <c r="F37">
        <v>0</v>
      </c>
      <c r="G37">
        <v>0</v>
      </c>
      <c r="H37">
        <v>30</v>
      </c>
      <c r="I37">
        <v>10</v>
      </c>
      <c r="J37" t="s">
        <v>13</v>
      </c>
      <c r="K37">
        <v>4</v>
      </c>
      <c r="L37">
        <v>100</v>
      </c>
      <c r="M37">
        <v>100</v>
      </c>
      <c r="N37">
        <v>100</v>
      </c>
      <c r="O37">
        <v>2</v>
      </c>
      <c r="P37">
        <v>0</v>
      </c>
      <c r="Q37">
        <v>0</v>
      </c>
      <c r="R37">
        <v>6</v>
      </c>
      <c r="S37">
        <v>6</v>
      </c>
      <c r="T37">
        <v>6</v>
      </c>
      <c r="U37">
        <v>99</v>
      </c>
      <c r="V37">
        <v>6</v>
      </c>
      <c r="W37">
        <v>6</v>
      </c>
      <c r="X37">
        <v>6</v>
      </c>
      <c r="Y37">
        <v>6</v>
      </c>
      <c r="Z37">
        <v>6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76</v>
      </c>
      <c r="AH37">
        <v>76</v>
      </c>
      <c r="AI37">
        <v>76</v>
      </c>
      <c r="AJ37">
        <v>76</v>
      </c>
      <c r="AK37">
        <v>76</v>
      </c>
      <c r="AM37" s="2" t="s">
        <v>165</v>
      </c>
      <c r="AN37" s="2" t="s">
        <v>145</v>
      </c>
      <c r="AO37" s="2" t="s">
        <v>145</v>
      </c>
      <c r="AP37" s="2" t="s">
        <v>145</v>
      </c>
    </row>
    <row r="38" spans="1:42" x14ac:dyDescent="0.3">
      <c r="A38">
        <f t="shared" si="0"/>
        <v>36</v>
      </c>
      <c r="B38" t="str">
        <f t="shared" si="2"/>
        <v>Himmelblau</v>
      </c>
      <c r="C38" t="s">
        <v>163</v>
      </c>
      <c r="D38" t="s">
        <v>137</v>
      </c>
      <c r="E38">
        <v>3</v>
      </c>
      <c r="F38">
        <v>0</v>
      </c>
      <c r="G38">
        <v>0</v>
      </c>
      <c r="H38">
        <v>30</v>
      </c>
      <c r="I38">
        <v>10</v>
      </c>
      <c r="J38" t="s">
        <v>13</v>
      </c>
      <c r="K38">
        <v>4</v>
      </c>
      <c r="L38">
        <v>100</v>
      </c>
      <c r="M38">
        <v>100</v>
      </c>
      <c r="N38">
        <v>100</v>
      </c>
      <c r="O38">
        <v>2</v>
      </c>
      <c r="P38">
        <v>0</v>
      </c>
      <c r="Q38">
        <v>0</v>
      </c>
      <c r="R38">
        <v>6</v>
      </c>
      <c r="S38">
        <v>6</v>
      </c>
      <c r="T38">
        <v>6</v>
      </c>
      <c r="U38">
        <v>99</v>
      </c>
      <c r="V38">
        <v>6</v>
      </c>
      <c r="W38">
        <v>6</v>
      </c>
      <c r="X38">
        <v>6</v>
      </c>
      <c r="Y38">
        <v>6</v>
      </c>
      <c r="Z38">
        <v>6</v>
      </c>
      <c r="AA38">
        <v>6</v>
      </c>
      <c r="AB38">
        <v>6</v>
      </c>
      <c r="AC38">
        <v>6</v>
      </c>
      <c r="AD38">
        <v>6</v>
      </c>
      <c r="AE38">
        <v>6</v>
      </c>
      <c r="AF38">
        <v>6</v>
      </c>
      <c r="AG38">
        <v>76</v>
      </c>
      <c r="AH38">
        <v>76</v>
      </c>
      <c r="AI38">
        <v>76</v>
      </c>
      <c r="AJ38">
        <v>76</v>
      </c>
      <c r="AK38">
        <v>76</v>
      </c>
      <c r="AM38" t="s">
        <v>163</v>
      </c>
      <c r="AN38" t="s">
        <v>163</v>
      </c>
      <c r="AO38" t="s">
        <v>163</v>
      </c>
      <c r="AP38" t="s">
        <v>163</v>
      </c>
    </row>
    <row r="39" spans="1:42" x14ac:dyDescent="0.3">
      <c r="A39">
        <f t="shared" si="0"/>
        <v>37</v>
      </c>
      <c r="B39" t="str">
        <f t="shared" si="2"/>
        <v>Viola</v>
      </c>
      <c r="C39" t="s">
        <v>162</v>
      </c>
      <c r="D39" t="s">
        <v>137</v>
      </c>
      <c r="E39">
        <v>3</v>
      </c>
      <c r="F39">
        <v>0</v>
      </c>
      <c r="G39">
        <v>0</v>
      </c>
      <c r="H39">
        <v>30</v>
      </c>
      <c r="I39">
        <v>10</v>
      </c>
      <c r="J39" t="s">
        <v>13</v>
      </c>
      <c r="K39">
        <v>4</v>
      </c>
      <c r="L39">
        <v>100</v>
      </c>
      <c r="M39">
        <v>100</v>
      </c>
      <c r="N39">
        <v>100</v>
      </c>
      <c r="O39">
        <v>2</v>
      </c>
      <c r="P39">
        <v>0</v>
      </c>
      <c r="Q39">
        <v>0</v>
      </c>
      <c r="R39">
        <v>6</v>
      </c>
      <c r="S39">
        <v>6</v>
      </c>
      <c r="T39">
        <v>6</v>
      </c>
      <c r="U39">
        <v>98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6</v>
      </c>
      <c r="AC39">
        <v>6</v>
      </c>
      <c r="AD39">
        <v>6</v>
      </c>
      <c r="AE39">
        <v>6</v>
      </c>
      <c r="AF39">
        <v>6</v>
      </c>
      <c r="AG39">
        <v>76</v>
      </c>
      <c r="AH39">
        <v>76</v>
      </c>
      <c r="AI39">
        <v>76</v>
      </c>
      <c r="AJ39">
        <v>76</v>
      </c>
      <c r="AK39">
        <v>76</v>
      </c>
      <c r="AM39" t="s">
        <v>162</v>
      </c>
      <c r="AN39" t="s">
        <v>162</v>
      </c>
      <c r="AO39" t="s">
        <v>162</v>
      </c>
      <c r="AP39" t="s">
        <v>162</v>
      </c>
    </row>
    <row r="40" spans="1:42" x14ac:dyDescent="0.3">
      <c r="A40">
        <f t="shared" si="0"/>
        <v>38</v>
      </c>
      <c r="B40" t="str">
        <f t="shared" si="2"/>
        <v>Schwartz</v>
      </c>
      <c r="C40" t="s">
        <v>166</v>
      </c>
      <c r="D40" t="s">
        <v>137</v>
      </c>
      <c r="E40">
        <v>3</v>
      </c>
      <c r="F40">
        <v>0</v>
      </c>
      <c r="G40">
        <v>0</v>
      </c>
      <c r="H40">
        <v>30</v>
      </c>
      <c r="I40">
        <v>10</v>
      </c>
      <c r="J40" t="s">
        <v>13</v>
      </c>
      <c r="K40">
        <v>4</v>
      </c>
      <c r="L40">
        <v>100</v>
      </c>
      <c r="M40">
        <v>100</v>
      </c>
      <c r="N40">
        <v>100</v>
      </c>
      <c r="O40">
        <v>2</v>
      </c>
      <c r="P40">
        <v>0</v>
      </c>
      <c r="Q40">
        <v>0</v>
      </c>
      <c r="R40">
        <v>6</v>
      </c>
      <c r="S40">
        <v>6</v>
      </c>
      <c r="T40">
        <v>6</v>
      </c>
      <c r="U40">
        <v>98</v>
      </c>
      <c r="V40">
        <v>6</v>
      </c>
      <c r="W40">
        <v>6</v>
      </c>
      <c r="X40">
        <v>6</v>
      </c>
      <c r="Y40">
        <v>6</v>
      </c>
      <c r="Z40">
        <v>6</v>
      </c>
      <c r="AA40">
        <v>6</v>
      </c>
      <c r="AB40">
        <v>6</v>
      </c>
      <c r="AC40">
        <v>6</v>
      </c>
      <c r="AD40">
        <v>6</v>
      </c>
      <c r="AE40">
        <v>6</v>
      </c>
      <c r="AF40">
        <v>6</v>
      </c>
      <c r="AG40">
        <v>76</v>
      </c>
      <c r="AH40">
        <v>76</v>
      </c>
      <c r="AI40">
        <v>76</v>
      </c>
      <c r="AJ40">
        <v>76</v>
      </c>
      <c r="AK40">
        <v>76</v>
      </c>
      <c r="AM40" t="s">
        <v>166</v>
      </c>
      <c r="AN40" t="s">
        <v>166</v>
      </c>
      <c r="AO40" t="s">
        <v>166</v>
      </c>
      <c r="AP40" t="s">
        <v>166</v>
      </c>
    </row>
    <row r="41" spans="1:42" x14ac:dyDescent="0.3">
      <c r="A41">
        <f t="shared" si="0"/>
        <v>39</v>
      </c>
      <c r="B41" t="str">
        <f t="shared" si="2"/>
        <v>Hiyori</v>
      </c>
      <c r="C41" t="s">
        <v>147</v>
      </c>
      <c r="D41" t="s">
        <v>137</v>
      </c>
      <c r="E41">
        <v>3</v>
      </c>
      <c r="F41">
        <v>0</v>
      </c>
      <c r="G41">
        <v>0</v>
      </c>
      <c r="H41">
        <v>30</v>
      </c>
      <c r="I41">
        <v>10</v>
      </c>
      <c r="J41" t="s">
        <v>13</v>
      </c>
      <c r="K41">
        <v>4</v>
      </c>
      <c r="L41">
        <v>100</v>
      </c>
      <c r="M41">
        <v>100</v>
      </c>
      <c r="N41">
        <v>100</v>
      </c>
      <c r="O41">
        <v>2</v>
      </c>
      <c r="P41">
        <v>0</v>
      </c>
      <c r="Q41">
        <v>0</v>
      </c>
      <c r="R41">
        <v>6</v>
      </c>
      <c r="S41">
        <v>6</v>
      </c>
      <c r="T41">
        <v>6</v>
      </c>
      <c r="U41">
        <v>98</v>
      </c>
      <c r="V41">
        <v>6</v>
      </c>
      <c r="W41">
        <v>6</v>
      </c>
      <c r="X41">
        <v>6</v>
      </c>
      <c r="Y41">
        <v>6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6</v>
      </c>
      <c r="AF41">
        <v>6</v>
      </c>
      <c r="AG41">
        <v>76</v>
      </c>
      <c r="AH41">
        <v>76</v>
      </c>
      <c r="AI41">
        <v>76</v>
      </c>
      <c r="AJ41">
        <v>76</v>
      </c>
      <c r="AK41">
        <v>76</v>
      </c>
      <c r="AM41" t="s">
        <v>147</v>
      </c>
      <c r="AN41" t="s">
        <v>147</v>
      </c>
      <c r="AO41" t="s">
        <v>147</v>
      </c>
      <c r="AP41" t="s">
        <v>147</v>
      </c>
    </row>
    <row r="42" spans="1:42" x14ac:dyDescent="0.3">
      <c r="A42">
        <f t="shared" si="0"/>
        <v>40</v>
      </c>
      <c r="B42" t="str">
        <f t="shared" si="2"/>
        <v>Jadwiga</v>
      </c>
      <c r="C42" t="s">
        <v>149</v>
      </c>
      <c r="D42" t="s">
        <v>137</v>
      </c>
      <c r="E42">
        <v>3</v>
      </c>
      <c r="F42">
        <v>0</v>
      </c>
      <c r="G42">
        <v>0</v>
      </c>
      <c r="H42">
        <v>30</v>
      </c>
      <c r="I42">
        <v>10</v>
      </c>
      <c r="J42" t="s">
        <v>13</v>
      </c>
      <c r="K42">
        <v>4</v>
      </c>
      <c r="L42">
        <v>100</v>
      </c>
      <c r="M42">
        <v>100</v>
      </c>
      <c r="N42">
        <v>100</v>
      </c>
      <c r="O42">
        <v>2</v>
      </c>
      <c r="P42">
        <v>0</v>
      </c>
      <c r="Q42">
        <v>0</v>
      </c>
      <c r="R42">
        <v>6</v>
      </c>
      <c r="S42">
        <v>6</v>
      </c>
      <c r="T42">
        <v>6</v>
      </c>
      <c r="U42">
        <v>98</v>
      </c>
      <c r="V42">
        <v>6</v>
      </c>
      <c r="W42">
        <v>6</v>
      </c>
      <c r="X42">
        <v>6</v>
      </c>
      <c r="Y42">
        <v>6</v>
      </c>
      <c r="Z42">
        <v>6</v>
      </c>
      <c r="AA42">
        <v>6</v>
      </c>
      <c r="AB42">
        <v>6</v>
      </c>
      <c r="AC42">
        <v>6</v>
      </c>
      <c r="AD42">
        <v>6</v>
      </c>
      <c r="AE42">
        <v>6</v>
      </c>
      <c r="AF42">
        <v>6</v>
      </c>
      <c r="AG42">
        <v>76</v>
      </c>
      <c r="AH42">
        <v>76</v>
      </c>
      <c r="AI42">
        <v>76</v>
      </c>
      <c r="AJ42">
        <v>76</v>
      </c>
      <c r="AK42">
        <v>76</v>
      </c>
      <c r="AM42" t="s">
        <v>149</v>
      </c>
      <c r="AN42" t="s">
        <v>149</v>
      </c>
      <c r="AO42" t="s">
        <v>149</v>
      </c>
      <c r="AP42" t="s">
        <v>149</v>
      </c>
    </row>
    <row r="43" spans="1:42" x14ac:dyDescent="0.3">
      <c r="A43">
        <f t="shared" si="0"/>
        <v>41</v>
      </c>
      <c r="B43" t="str">
        <f t="shared" si="2"/>
        <v>Margaret</v>
      </c>
      <c r="C43" t="s">
        <v>150</v>
      </c>
      <c r="D43" t="s">
        <v>40</v>
      </c>
      <c r="E43">
        <v>3</v>
      </c>
      <c r="F43">
        <v>0</v>
      </c>
      <c r="G43">
        <v>0</v>
      </c>
      <c r="H43">
        <v>30</v>
      </c>
      <c r="I43">
        <v>10</v>
      </c>
      <c r="J43" t="s">
        <v>13</v>
      </c>
      <c r="K43">
        <v>4</v>
      </c>
      <c r="L43">
        <v>100</v>
      </c>
      <c r="M43">
        <v>100</v>
      </c>
      <c r="N43">
        <v>100</v>
      </c>
      <c r="O43">
        <v>2</v>
      </c>
      <c r="P43">
        <v>0</v>
      </c>
      <c r="Q43">
        <v>0</v>
      </c>
      <c r="R43">
        <v>6</v>
      </c>
      <c r="S43">
        <v>6</v>
      </c>
      <c r="T43">
        <v>6</v>
      </c>
      <c r="U43">
        <v>98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76</v>
      </c>
      <c r="AH43">
        <v>76</v>
      </c>
      <c r="AI43">
        <v>76</v>
      </c>
      <c r="AJ43">
        <v>76</v>
      </c>
      <c r="AK43">
        <v>76</v>
      </c>
      <c r="AM43" t="s">
        <v>150</v>
      </c>
      <c r="AN43" t="s">
        <v>150</v>
      </c>
      <c r="AO43" t="s">
        <v>150</v>
      </c>
      <c r="AP43" t="s">
        <v>150</v>
      </c>
    </row>
    <row r="44" spans="1:42" x14ac:dyDescent="0.3">
      <c r="A44">
        <f t="shared" si="0"/>
        <v>42</v>
      </c>
      <c r="B44" t="str">
        <f t="shared" si="2"/>
        <v>Ottoman</v>
      </c>
      <c r="C44" t="s">
        <v>153</v>
      </c>
      <c r="D44" t="s">
        <v>137</v>
      </c>
      <c r="E44">
        <v>3</v>
      </c>
      <c r="F44">
        <v>0</v>
      </c>
      <c r="G44">
        <v>0</v>
      </c>
      <c r="H44">
        <v>30</v>
      </c>
      <c r="I44">
        <v>10</v>
      </c>
      <c r="J44" t="s">
        <v>13</v>
      </c>
      <c r="K44">
        <v>4</v>
      </c>
      <c r="L44">
        <v>100</v>
      </c>
      <c r="M44">
        <v>100</v>
      </c>
      <c r="N44">
        <v>100</v>
      </c>
      <c r="O44">
        <v>2</v>
      </c>
      <c r="P44">
        <v>0</v>
      </c>
      <c r="Q44">
        <v>0</v>
      </c>
      <c r="R44">
        <v>6</v>
      </c>
      <c r="S44">
        <v>6</v>
      </c>
      <c r="T44">
        <v>6</v>
      </c>
      <c r="U44">
        <v>98</v>
      </c>
      <c r="V44">
        <v>6</v>
      </c>
      <c r="W44">
        <v>6</v>
      </c>
      <c r="X44">
        <v>6</v>
      </c>
      <c r="Y44">
        <v>6</v>
      </c>
      <c r="Z44">
        <v>6</v>
      </c>
      <c r="AA44">
        <v>6</v>
      </c>
      <c r="AB44">
        <v>6</v>
      </c>
      <c r="AC44">
        <v>6</v>
      </c>
      <c r="AD44">
        <v>6</v>
      </c>
      <c r="AE44">
        <v>6</v>
      </c>
      <c r="AF44">
        <v>6</v>
      </c>
      <c r="AG44">
        <v>76</v>
      </c>
      <c r="AH44">
        <v>76</v>
      </c>
      <c r="AI44">
        <v>76</v>
      </c>
      <c r="AJ44">
        <v>76</v>
      </c>
      <c r="AK44">
        <v>76</v>
      </c>
      <c r="AM44" t="s">
        <v>153</v>
      </c>
      <c r="AN44" t="s">
        <v>153</v>
      </c>
      <c r="AO44" t="s">
        <v>153</v>
      </c>
      <c r="AP44" t="s">
        <v>153</v>
      </c>
    </row>
    <row r="45" spans="1:42" x14ac:dyDescent="0.3">
      <c r="A45">
        <f t="shared" si="0"/>
        <v>43</v>
      </c>
      <c r="B45" t="str">
        <f t="shared" si="2"/>
        <v>Lilith</v>
      </c>
      <c r="C45" t="s">
        <v>154</v>
      </c>
      <c r="D45" t="s">
        <v>137</v>
      </c>
      <c r="E45">
        <v>3</v>
      </c>
      <c r="F45">
        <v>0</v>
      </c>
      <c r="G45">
        <v>0</v>
      </c>
      <c r="H45">
        <v>30</v>
      </c>
      <c r="I45">
        <v>10</v>
      </c>
      <c r="J45" t="s">
        <v>13</v>
      </c>
      <c r="K45">
        <v>4</v>
      </c>
      <c r="L45">
        <v>100</v>
      </c>
      <c r="M45">
        <v>100</v>
      </c>
      <c r="N45">
        <v>100</v>
      </c>
      <c r="O45">
        <v>2</v>
      </c>
      <c r="P45">
        <v>0</v>
      </c>
      <c r="Q45">
        <v>0</v>
      </c>
      <c r="R45">
        <v>6</v>
      </c>
      <c r="S45">
        <v>6</v>
      </c>
      <c r="T45">
        <v>6</v>
      </c>
      <c r="U45">
        <v>98</v>
      </c>
      <c r="V45">
        <v>6</v>
      </c>
      <c r="W45">
        <v>6</v>
      </c>
      <c r="X45">
        <v>6</v>
      </c>
      <c r="Y45">
        <v>6</v>
      </c>
      <c r="Z45">
        <v>6</v>
      </c>
      <c r="AA45">
        <v>6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76</v>
      </c>
      <c r="AH45">
        <v>76</v>
      </c>
      <c r="AI45">
        <v>76</v>
      </c>
      <c r="AJ45">
        <v>76</v>
      </c>
      <c r="AK45">
        <v>76</v>
      </c>
      <c r="AM45" t="s">
        <v>154</v>
      </c>
      <c r="AN45" t="s">
        <v>154</v>
      </c>
      <c r="AO45" t="s">
        <v>154</v>
      </c>
      <c r="AP45" t="s">
        <v>154</v>
      </c>
    </row>
    <row r="46" spans="1:42" x14ac:dyDescent="0.3">
      <c r="A46">
        <f t="shared" si="0"/>
        <v>44</v>
      </c>
      <c r="B46" t="str">
        <f t="shared" si="2"/>
        <v>Tonia</v>
      </c>
      <c r="C46" t="s">
        <v>158</v>
      </c>
      <c r="D46" t="s">
        <v>137</v>
      </c>
      <c r="E46">
        <v>3</v>
      </c>
      <c r="F46">
        <v>0</v>
      </c>
      <c r="G46">
        <v>0</v>
      </c>
      <c r="H46">
        <v>30</v>
      </c>
      <c r="I46">
        <v>10</v>
      </c>
      <c r="J46" t="s">
        <v>13</v>
      </c>
      <c r="K46">
        <v>4</v>
      </c>
      <c r="L46">
        <v>100</v>
      </c>
      <c r="M46">
        <v>100</v>
      </c>
      <c r="N46">
        <v>100</v>
      </c>
      <c r="O46">
        <v>2</v>
      </c>
      <c r="P46">
        <v>0</v>
      </c>
      <c r="Q46">
        <v>0</v>
      </c>
      <c r="R46">
        <v>6</v>
      </c>
      <c r="S46">
        <v>6</v>
      </c>
      <c r="T46">
        <v>6</v>
      </c>
      <c r="U46">
        <v>6</v>
      </c>
      <c r="V46">
        <v>6</v>
      </c>
      <c r="W46">
        <v>6</v>
      </c>
      <c r="X46">
        <v>6</v>
      </c>
      <c r="Y46">
        <v>6</v>
      </c>
      <c r="Z46">
        <v>6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76</v>
      </c>
      <c r="AH46">
        <v>76</v>
      </c>
      <c r="AI46">
        <v>76</v>
      </c>
      <c r="AJ46">
        <v>76</v>
      </c>
      <c r="AK46">
        <v>76</v>
      </c>
      <c r="AM46" t="s">
        <v>158</v>
      </c>
      <c r="AN46" t="s">
        <v>158</v>
      </c>
      <c r="AO46" t="s">
        <v>158</v>
      </c>
      <c r="AP46" t="s">
        <v>158</v>
      </c>
    </row>
    <row r="47" spans="1:42" x14ac:dyDescent="0.3">
      <c r="A47">
        <f t="shared" si="0"/>
        <v>45</v>
      </c>
      <c r="B47" t="str">
        <f t="shared" si="2"/>
        <v>Ximena</v>
      </c>
      <c r="C47" t="s">
        <v>159</v>
      </c>
      <c r="D47" t="s">
        <v>137</v>
      </c>
      <c r="E47">
        <v>3</v>
      </c>
      <c r="F47">
        <v>0</v>
      </c>
      <c r="G47">
        <v>0</v>
      </c>
      <c r="H47">
        <v>30</v>
      </c>
      <c r="I47">
        <v>10</v>
      </c>
      <c r="J47" t="s">
        <v>13</v>
      </c>
      <c r="K47">
        <v>4</v>
      </c>
      <c r="L47">
        <v>100</v>
      </c>
      <c r="M47">
        <v>100</v>
      </c>
      <c r="N47">
        <v>100</v>
      </c>
      <c r="O47">
        <v>2</v>
      </c>
      <c r="P47">
        <v>0</v>
      </c>
      <c r="Q47">
        <v>0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6</v>
      </c>
      <c r="Y47">
        <v>6</v>
      </c>
      <c r="Z47">
        <v>6</v>
      </c>
      <c r="AA47">
        <v>6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76</v>
      </c>
      <c r="AH47">
        <v>76</v>
      </c>
      <c r="AI47">
        <v>76</v>
      </c>
      <c r="AJ47">
        <v>76</v>
      </c>
      <c r="AK47">
        <v>76</v>
      </c>
      <c r="AM47" t="s">
        <v>159</v>
      </c>
      <c r="AN47" t="s">
        <v>159</v>
      </c>
      <c r="AO47" t="s">
        <v>159</v>
      </c>
      <c r="AP47" t="s">
        <v>159</v>
      </c>
    </row>
    <row r="48" spans="1:42" x14ac:dyDescent="0.3">
      <c r="A48">
        <f t="shared" si="0"/>
        <v>46</v>
      </c>
      <c r="B48" t="str">
        <f t="shared" si="2"/>
        <v>Dunya</v>
      </c>
      <c r="C48" t="s">
        <v>160</v>
      </c>
      <c r="D48" t="s">
        <v>137</v>
      </c>
      <c r="E48">
        <v>3</v>
      </c>
      <c r="F48">
        <v>0</v>
      </c>
      <c r="G48">
        <v>0</v>
      </c>
      <c r="H48">
        <v>30</v>
      </c>
      <c r="I48">
        <v>10</v>
      </c>
      <c r="J48" t="s">
        <v>13</v>
      </c>
      <c r="K48">
        <v>4</v>
      </c>
      <c r="L48">
        <v>100</v>
      </c>
      <c r="M48">
        <v>100</v>
      </c>
      <c r="N48">
        <v>100</v>
      </c>
      <c r="O48">
        <v>2</v>
      </c>
      <c r="P48">
        <v>0</v>
      </c>
      <c r="Q48">
        <v>0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6</v>
      </c>
      <c r="AC48">
        <v>6</v>
      </c>
      <c r="AD48">
        <v>6</v>
      </c>
      <c r="AE48">
        <v>6</v>
      </c>
      <c r="AF48">
        <v>6</v>
      </c>
      <c r="AG48">
        <v>76</v>
      </c>
      <c r="AH48">
        <v>76</v>
      </c>
      <c r="AI48">
        <v>76</v>
      </c>
      <c r="AJ48">
        <v>76</v>
      </c>
      <c r="AK48">
        <v>76</v>
      </c>
      <c r="AM48" t="s">
        <v>160</v>
      </c>
      <c r="AN48" t="s">
        <v>160</v>
      </c>
      <c r="AO48" t="s">
        <v>160</v>
      </c>
      <c r="AP48" t="s">
        <v>160</v>
      </c>
    </row>
    <row r="49" spans="1:42" x14ac:dyDescent="0.3">
      <c r="A49">
        <f t="shared" si="0"/>
        <v>47</v>
      </c>
      <c r="B49" t="str">
        <f t="shared" si="2"/>
        <v>Sonia</v>
      </c>
      <c r="C49" t="s">
        <v>161</v>
      </c>
      <c r="D49" t="s">
        <v>40</v>
      </c>
      <c r="E49">
        <v>3</v>
      </c>
      <c r="F49">
        <v>0</v>
      </c>
      <c r="G49">
        <v>0</v>
      </c>
      <c r="H49">
        <v>30</v>
      </c>
      <c r="I49">
        <v>10</v>
      </c>
      <c r="J49" t="s">
        <v>13</v>
      </c>
      <c r="K49">
        <v>4</v>
      </c>
      <c r="L49">
        <v>100</v>
      </c>
      <c r="M49">
        <v>100</v>
      </c>
      <c r="N49">
        <v>100</v>
      </c>
      <c r="O49">
        <v>2</v>
      </c>
      <c r="P49">
        <v>0</v>
      </c>
      <c r="Q49">
        <v>0</v>
      </c>
      <c r="R49">
        <v>6</v>
      </c>
      <c r="S49">
        <v>6</v>
      </c>
      <c r="T49">
        <v>6</v>
      </c>
      <c r="U49">
        <v>6</v>
      </c>
      <c r="V49">
        <v>6</v>
      </c>
      <c r="W49">
        <v>6</v>
      </c>
      <c r="X49">
        <v>6</v>
      </c>
      <c r="Y49">
        <v>6</v>
      </c>
      <c r="Z49">
        <v>6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76</v>
      </c>
      <c r="AH49">
        <v>76</v>
      </c>
      <c r="AI49">
        <v>76</v>
      </c>
      <c r="AJ49">
        <v>76</v>
      </c>
      <c r="AK49">
        <v>76</v>
      </c>
      <c r="AM49" t="s">
        <v>161</v>
      </c>
      <c r="AN49" t="s">
        <v>161</v>
      </c>
      <c r="AO49" t="s">
        <v>161</v>
      </c>
      <c r="AP49" t="s">
        <v>161</v>
      </c>
    </row>
    <row r="50" spans="1:42" x14ac:dyDescent="0.3">
      <c r="A50">
        <f t="shared" si="0"/>
        <v>48</v>
      </c>
      <c r="B50" t="s">
        <v>168</v>
      </c>
      <c r="C50" t="s">
        <v>168</v>
      </c>
      <c r="D50" t="s">
        <v>135</v>
      </c>
      <c r="E50">
        <v>3</v>
      </c>
      <c r="F50">
        <v>0</v>
      </c>
      <c r="G50">
        <v>0</v>
      </c>
      <c r="H50">
        <v>30</v>
      </c>
      <c r="I50">
        <v>10</v>
      </c>
      <c r="J50" t="s">
        <v>13</v>
      </c>
      <c r="K50">
        <v>4</v>
      </c>
      <c r="L50">
        <v>100</v>
      </c>
      <c r="M50">
        <v>100</v>
      </c>
      <c r="N50">
        <v>100</v>
      </c>
      <c r="O50">
        <v>2</v>
      </c>
      <c r="P50">
        <v>0</v>
      </c>
      <c r="Q50">
        <v>0</v>
      </c>
      <c r="R50">
        <v>6</v>
      </c>
      <c r="S50">
        <v>6</v>
      </c>
      <c r="T50">
        <v>6</v>
      </c>
      <c r="U50">
        <v>6</v>
      </c>
      <c r="V50">
        <v>6</v>
      </c>
      <c r="W50">
        <v>6</v>
      </c>
      <c r="X50">
        <v>6</v>
      </c>
      <c r="Y50">
        <v>6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76</v>
      </c>
      <c r="AH50">
        <v>76</v>
      </c>
      <c r="AI50">
        <v>76</v>
      </c>
      <c r="AJ50">
        <v>76</v>
      </c>
      <c r="AK50">
        <v>76</v>
      </c>
      <c r="AM50" t="s">
        <v>168</v>
      </c>
      <c r="AN50" t="s">
        <v>168</v>
      </c>
      <c r="AO50" t="s">
        <v>168</v>
      </c>
      <c r="AP50" t="s">
        <v>168</v>
      </c>
    </row>
    <row r="51" spans="1:42" x14ac:dyDescent="0.3">
      <c r="A51">
        <f t="shared" si="0"/>
        <v>49</v>
      </c>
      <c r="B51" t="s">
        <v>167</v>
      </c>
      <c r="C51" t="s">
        <v>167</v>
      </c>
      <c r="D51" t="s">
        <v>135</v>
      </c>
      <c r="E51">
        <v>3</v>
      </c>
      <c r="F51">
        <v>0</v>
      </c>
      <c r="G51">
        <v>0</v>
      </c>
      <c r="H51">
        <v>30</v>
      </c>
      <c r="I51">
        <v>10</v>
      </c>
      <c r="J51" t="s">
        <v>13</v>
      </c>
      <c r="K51">
        <v>4</v>
      </c>
      <c r="L51">
        <v>100</v>
      </c>
      <c r="M51">
        <v>100</v>
      </c>
      <c r="N51">
        <v>100</v>
      </c>
      <c r="O51">
        <v>2</v>
      </c>
      <c r="P51">
        <v>0</v>
      </c>
      <c r="Q51">
        <v>0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76</v>
      </c>
      <c r="AH51">
        <v>76</v>
      </c>
      <c r="AI51">
        <v>76</v>
      </c>
      <c r="AJ51">
        <v>76</v>
      </c>
      <c r="AK51">
        <v>76</v>
      </c>
      <c r="AM51" t="s">
        <v>167</v>
      </c>
      <c r="AN51" t="s">
        <v>167</v>
      </c>
      <c r="AO51" t="s">
        <v>167</v>
      </c>
      <c r="AP51" t="s">
        <v>167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9F08-4E99-4407-8B73-C1AE1EB91131}">
  <dimension ref="A1:AP3"/>
  <sheetViews>
    <sheetView workbookViewId="0">
      <selection activeCell="B2" sqref="B2"/>
    </sheetView>
  </sheetViews>
  <sheetFormatPr defaultRowHeight="14.4" x14ac:dyDescent="0.3"/>
  <cols>
    <col min="3" max="3" width="20" customWidth="1"/>
  </cols>
  <sheetData>
    <row r="1" spans="1:42" x14ac:dyDescent="0.3">
      <c r="A1" t="s">
        <v>0</v>
      </c>
      <c r="B1" t="s">
        <v>157</v>
      </c>
      <c r="C1" t="s">
        <v>1</v>
      </c>
      <c r="D1" t="s">
        <v>2</v>
      </c>
      <c r="E1" t="s">
        <v>3</v>
      </c>
      <c r="F1" t="s">
        <v>141</v>
      </c>
      <c r="G1" t="s">
        <v>142</v>
      </c>
      <c r="H1" t="s">
        <v>143</v>
      </c>
      <c r="I1" t="s">
        <v>144</v>
      </c>
      <c r="J1" t="s">
        <v>8</v>
      </c>
      <c r="K1" t="s">
        <v>11</v>
      </c>
      <c r="L1" t="s">
        <v>4</v>
      </c>
      <c r="M1" t="s">
        <v>5</v>
      </c>
      <c r="N1" t="s">
        <v>6</v>
      </c>
      <c r="O1" t="s">
        <v>7</v>
      </c>
      <c r="P1" t="s">
        <v>9</v>
      </c>
      <c r="Q1" t="s">
        <v>10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155</v>
      </c>
      <c r="AM1" t="s">
        <v>19</v>
      </c>
      <c r="AN1" t="s">
        <v>20</v>
      </c>
      <c r="AO1" t="s">
        <v>21</v>
      </c>
      <c r="AP1" t="s">
        <v>22</v>
      </c>
    </row>
    <row r="2" spans="1:42" x14ac:dyDescent="0.3">
      <c r="A2">
        <f>ROW()-2</f>
        <v>0</v>
      </c>
      <c r="B2" t="s">
        <v>156</v>
      </c>
      <c r="C2" t="s">
        <v>62</v>
      </c>
      <c r="D2" t="s">
        <v>38</v>
      </c>
      <c r="E2">
        <v>2</v>
      </c>
      <c r="F2">
        <v>0</v>
      </c>
      <c r="G2">
        <v>1</v>
      </c>
      <c r="H2">
        <v>-30</v>
      </c>
      <c r="I2">
        <v>0</v>
      </c>
      <c r="J2" t="s">
        <v>13</v>
      </c>
      <c r="K2">
        <v>4</v>
      </c>
      <c r="L2">
        <v>2000</v>
      </c>
      <c r="M2">
        <v>2000</v>
      </c>
      <c r="N2">
        <v>0</v>
      </c>
      <c r="O2">
        <v>0</v>
      </c>
      <c r="P2">
        <v>30</v>
      </c>
      <c r="Q2">
        <v>10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 t="s">
        <v>23</v>
      </c>
      <c r="AH2" t="s">
        <v>24</v>
      </c>
      <c r="AI2" t="s">
        <v>25</v>
      </c>
      <c r="AJ2" t="s">
        <v>13</v>
      </c>
      <c r="AK2" t="s">
        <v>13</v>
      </c>
      <c r="AM2" t="s">
        <v>63</v>
      </c>
      <c r="AN2" t="s">
        <v>63</v>
      </c>
      <c r="AO2" t="s">
        <v>63</v>
      </c>
      <c r="AP2" t="s">
        <v>63</v>
      </c>
    </row>
    <row r="3" spans="1:42" x14ac:dyDescent="0.3">
      <c r="A3">
        <f>ROW()-2</f>
        <v>1</v>
      </c>
      <c r="B3" t="s">
        <v>156</v>
      </c>
      <c r="C3" t="s">
        <v>62</v>
      </c>
      <c r="D3" t="s">
        <v>38</v>
      </c>
      <c r="E3">
        <v>2</v>
      </c>
      <c r="F3">
        <v>0</v>
      </c>
      <c r="G3">
        <v>1</v>
      </c>
      <c r="H3">
        <v>-30</v>
      </c>
      <c r="I3">
        <v>0</v>
      </c>
      <c r="J3" t="s">
        <v>13</v>
      </c>
      <c r="K3">
        <v>3</v>
      </c>
      <c r="L3">
        <v>2000</v>
      </c>
      <c r="M3">
        <v>2000</v>
      </c>
      <c r="N3">
        <v>0</v>
      </c>
      <c r="O3">
        <v>0</v>
      </c>
      <c r="P3">
        <v>30</v>
      </c>
      <c r="Q3">
        <v>10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 t="s">
        <v>23</v>
      </c>
      <c r="AH3" t="s">
        <v>24</v>
      </c>
      <c r="AI3" t="s">
        <v>25</v>
      </c>
      <c r="AJ3" t="s">
        <v>13</v>
      </c>
      <c r="AK3" t="s">
        <v>13</v>
      </c>
      <c r="AM3" t="s">
        <v>63</v>
      </c>
      <c r="AN3" t="s">
        <v>63</v>
      </c>
      <c r="AO3" t="s">
        <v>63</v>
      </c>
      <c r="AP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1917-21F3-43EA-89A7-BA5368C50D39}">
  <dimension ref="A1:AP6"/>
  <sheetViews>
    <sheetView workbookViewId="0">
      <selection activeCell="B2" sqref="B2"/>
    </sheetView>
  </sheetViews>
  <sheetFormatPr defaultRowHeight="14.4" x14ac:dyDescent="0.3"/>
  <sheetData>
    <row r="1" spans="1:42" x14ac:dyDescent="0.3">
      <c r="A1" t="s">
        <v>0</v>
      </c>
      <c r="B1" t="s">
        <v>157</v>
      </c>
      <c r="C1" t="s">
        <v>1</v>
      </c>
      <c r="D1" t="s">
        <v>2</v>
      </c>
      <c r="E1" t="s">
        <v>3</v>
      </c>
      <c r="F1" t="s">
        <v>141</v>
      </c>
      <c r="G1" t="s">
        <v>142</v>
      </c>
      <c r="H1" t="s">
        <v>143</v>
      </c>
      <c r="I1" t="s">
        <v>144</v>
      </c>
      <c r="J1" t="s">
        <v>8</v>
      </c>
      <c r="K1" t="s">
        <v>11</v>
      </c>
      <c r="L1" t="s">
        <v>4</v>
      </c>
      <c r="M1" t="s">
        <v>5</v>
      </c>
      <c r="N1" t="s">
        <v>6</v>
      </c>
      <c r="O1" t="s">
        <v>7</v>
      </c>
      <c r="P1" t="s">
        <v>9</v>
      </c>
      <c r="Q1" t="s">
        <v>10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155</v>
      </c>
      <c r="AM1" t="s">
        <v>19</v>
      </c>
      <c r="AN1" t="s">
        <v>20</v>
      </c>
      <c r="AO1" t="s">
        <v>21</v>
      </c>
      <c r="AP1" t="s">
        <v>22</v>
      </c>
    </row>
    <row r="2" spans="1:42" x14ac:dyDescent="0.3">
      <c r="A2">
        <f>ROW()-2</f>
        <v>0</v>
      </c>
      <c r="B2" t="s">
        <v>156</v>
      </c>
      <c r="C2" t="s">
        <v>64</v>
      </c>
      <c r="D2" t="s">
        <v>65</v>
      </c>
      <c r="E2">
        <v>14</v>
      </c>
      <c r="F2">
        <v>1</v>
      </c>
      <c r="G2">
        <v>1</v>
      </c>
      <c r="H2">
        <v>-60</v>
      </c>
      <c r="I2">
        <v>0</v>
      </c>
      <c r="J2" t="s">
        <v>13</v>
      </c>
      <c r="K2">
        <v>3</v>
      </c>
      <c r="L2">
        <v>1</v>
      </c>
      <c r="M2">
        <v>1</v>
      </c>
      <c r="N2">
        <v>0</v>
      </c>
      <c r="O2">
        <v>0</v>
      </c>
      <c r="P2">
        <v>50</v>
      </c>
      <c r="Q2">
        <v>30</v>
      </c>
      <c r="R2">
        <v>5</v>
      </c>
      <c r="S2">
        <v>5</v>
      </c>
      <c r="T2">
        <v>0</v>
      </c>
      <c r="U2">
        <v>5</v>
      </c>
      <c r="V2">
        <v>5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 t="s">
        <v>23</v>
      </c>
      <c r="AH2" t="s">
        <v>24</v>
      </c>
      <c r="AI2" t="s">
        <v>25</v>
      </c>
      <c r="AJ2" t="s">
        <v>13</v>
      </c>
      <c r="AK2" t="s">
        <v>13</v>
      </c>
      <c r="AM2" t="s">
        <v>66</v>
      </c>
      <c r="AN2" t="s">
        <v>66</v>
      </c>
      <c r="AO2" t="s">
        <v>66</v>
      </c>
      <c r="AP2" t="s">
        <v>66</v>
      </c>
    </row>
    <row r="3" spans="1:42" x14ac:dyDescent="0.3">
      <c r="A3">
        <f t="shared" ref="A3:A6" si="0">ROW()-2</f>
        <v>1</v>
      </c>
      <c r="B3" t="s">
        <v>156</v>
      </c>
      <c r="C3" t="s">
        <v>67</v>
      </c>
      <c r="D3" t="s">
        <v>65</v>
      </c>
      <c r="E3">
        <v>14</v>
      </c>
      <c r="F3">
        <v>1</v>
      </c>
      <c r="G3">
        <v>1</v>
      </c>
      <c r="H3">
        <v>-60</v>
      </c>
      <c r="I3">
        <v>0</v>
      </c>
      <c r="J3" t="s">
        <v>13</v>
      </c>
      <c r="K3">
        <v>3</v>
      </c>
      <c r="L3">
        <v>1</v>
      </c>
      <c r="M3">
        <v>1</v>
      </c>
      <c r="N3">
        <v>0</v>
      </c>
      <c r="O3">
        <v>0</v>
      </c>
      <c r="P3">
        <v>50</v>
      </c>
      <c r="Q3">
        <v>30</v>
      </c>
      <c r="R3">
        <v>5</v>
      </c>
      <c r="S3">
        <v>5</v>
      </c>
      <c r="T3">
        <v>0</v>
      </c>
      <c r="U3">
        <v>5</v>
      </c>
      <c r="V3">
        <v>5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 t="s">
        <v>23</v>
      </c>
      <c r="AH3" t="s">
        <v>24</v>
      </c>
      <c r="AI3" t="s">
        <v>25</v>
      </c>
      <c r="AJ3" t="s">
        <v>13</v>
      </c>
      <c r="AK3" t="s">
        <v>13</v>
      </c>
      <c r="AM3" t="s">
        <v>68</v>
      </c>
      <c r="AN3" t="s">
        <v>68</v>
      </c>
      <c r="AO3" t="s">
        <v>68</v>
      </c>
      <c r="AP3" t="s">
        <v>68</v>
      </c>
    </row>
    <row r="4" spans="1:42" x14ac:dyDescent="0.3">
      <c r="A4">
        <f t="shared" si="0"/>
        <v>2</v>
      </c>
      <c r="B4" t="s">
        <v>156</v>
      </c>
      <c r="C4" t="s">
        <v>69</v>
      </c>
      <c r="D4" t="s">
        <v>65</v>
      </c>
      <c r="E4">
        <v>14</v>
      </c>
      <c r="F4">
        <v>1</v>
      </c>
      <c r="G4">
        <v>1</v>
      </c>
      <c r="H4">
        <v>-60</v>
      </c>
      <c r="I4">
        <v>0</v>
      </c>
      <c r="J4" t="s">
        <v>13</v>
      </c>
      <c r="K4">
        <v>3</v>
      </c>
      <c r="L4">
        <v>1</v>
      </c>
      <c r="M4">
        <v>1</v>
      </c>
      <c r="N4">
        <v>0</v>
      </c>
      <c r="O4">
        <v>0</v>
      </c>
      <c r="P4">
        <v>50</v>
      </c>
      <c r="Q4">
        <v>30</v>
      </c>
      <c r="R4">
        <v>5</v>
      </c>
      <c r="S4">
        <v>5</v>
      </c>
      <c r="T4">
        <v>0</v>
      </c>
      <c r="U4">
        <v>5</v>
      </c>
      <c r="V4">
        <v>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 t="s">
        <v>23</v>
      </c>
      <c r="AH4" t="s">
        <v>24</v>
      </c>
      <c r="AI4" t="s">
        <v>25</v>
      </c>
      <c r="AJ4" t="s">
        <v>13</v>
      </c>
      <c r="AK4" t="s">
        <v>13</v>
      </c>
      <c r="AM4" t="s">
        <v>69</v>
      </c>
      <c r="AN4" t="s">
        <v>69</v>
      </c>
      <c r="AO4" t="s">
        <v>69</v>
      </c>
      <c r="AP4" t="s">
        <v>69</v>
      </c>
    </row>
    <row r="5" spans="1:42" x14ac:dyDescent="0.3">
      <c r="A5">
        <f t="shared" si="0"/>
        <v>3</v>
      </c>
      <c r="B5" t="s">
        <v>156</v>
      </c>
      <c r="C5" t="s">
        <v>70</v>
      </c>
      <c r="D5" t="s">
        <v>65</v>
      </c>
      <c r="E5">
        <v>14</v>
      </c>
      <c r="F5">
        <v>1</v>
      </c>
      <c r="G5">
        <v>1</v>
      </c>
      <c r="H5">
        <v>-60</v>
      </c>
      <c r="I5">
        <v>0</v>
      </c>
      <c r="J5" t="s">
        <v>13</v>
      </c>
      <c r="K5">
        <v>3</v>
      </c>
      <c r="L5">
        <v>1</v>
      </c>
      <c r="M5">
        <v>1</v>
      </c>
      <c r="N5">
        <v>0</v>
      </c>
      <c r="O5">
        <v>0</v>
      </c>
      <c r="P5">
        <v>50</v>
      </c>
      <c r="Q5">
        <v>30</v>
      </c>
      <c r="R5">
        <v>5</v>
      </c>
      <c r="S5">
        <v>5</v>
      </c>
      <c r="T5">
        <v>0</v>
      </c>
      <c r="U5">
        <v>5</v>
      </c>
      <c r="V5">
        <v>5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 t="s">
        <v>23</v>
      </c>
      <c r="AH5" t="s">
        <v>24</v>
      </c>
      <c r="AI5" t="s">
        <v>25</v>
      </c>
      <c r="AJ5" t="s">
        <v>13</v>
      </c>
      <c r="AK5" t="s">
        <v>13</v>
      </c>
      <c r="AM5" t="s">
        <v>70</v>
      </c>
      <c r="AN5" t="s">
        <v>70</v>
      </c>
      <c r="AO5" t="s">
        <v>70</v>
      </c>
      <c r="AP5" t="s">
        <v>70</v>
      </c>
    </row>
    <row r="6" spans="1:42" x14ac:dyDescent="0.3">
      <c r="A6">
        <f t="shared" si="0"/>
        <v>4</v>
      </c>
      <c r="B6" t="s">
        <v>156</v>
      </c>
      <c r="C6" t="s">
        <v>71</v>
      </c>
      <c r="D6" t="s">
        <v>65</v>
      </c>
      <c r="E6">
        <v>14</v>
      </c>
      <c r="F6">
        <v>1</v>
      </c>
      <c r="G6">
        <v>1</v>
      </c>
      <c r="H6">
        <v>-60</v>
      </c>
      <c r="I6">
        <v>0</v>
      </c>
      <c r="J6" t="s">
        <v>13</v>
      </c>
      <c r="K6">
        <v>3</v>
      </c>
      <c r="L6">
        <v>1</v>
      </c>
      <c r="M6">
        <v>1</v>
      </c>
      <c r="N6">
        <v>0</v>
      </c>
      <c r="O6">
        <v>0</v>
      </c>
      <c r="P6">
        <v>50</v>
      </c>
      <c r="Q6">
        <v>30</v>
      </c>
      <c r="R6">
        <v>5</v>
      </c>
      <c r="S6">
        <v>5</v>
      </c>
      <c r="T6">
        <v>0</v>
      </c>
      <c r="U6">
        <v>5</v>
      </c>
      <c r="V6">
        <v>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 t="s">
        <v>23</v>
      </c>
      <c r="AH6" t="s">
        <v>24</v>
      </c>
      <c r="AI6" t="s">
        <v>25</v>
      </c>
      <c r="AJ6" t="s">
        <v>13</v>
      </c>
      <c r="AK6" t="s">
        <v>13</v>
      </c>
      <c r="AM6" t="s">
        <v>71</v>
      </c>
      <c r="AN6" t="s">
        <v>71</v>
      </c>
      <c r="AO6" t="s">
        <v>71</v>
      </c>
      <c r="AP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Important Character</vt:lpstr>
      <vt:lpstr>Normal</vt:lpstr>
      <vt:lpstr>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2025-11-17T20:09:54Z</dcterms:modified>
</cp:coreProperties>
</file>